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.castaneda\Desktop\"/>
    </mc:Choice>
  </mc:AlternateContent>
  <xr:revisionPtr revIDLastSave="0" documentId="13_ncr:1_{D3A06D48-2BDB-4966-AF1C-972C3834398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PRÉSTAMOS" sheetId="1" r:id="rId1"/>
    <sheet name="CLIENTES" sheetId="3" r:id="rId2"/>
    <sheet name="CONTRATOS" sheetId="4" r:id="rId3"/>
    <sheet name="Visual para Combinacion" sheetId="9" r:id="rId4"/>
    <sheet name="CAJA" sheetId="5" state="hidden" r:id="rId5"/>
    <sheet name="PROCESOS" sheetId="2" state="hidden" r:id="rId6"/>
  </sheets>
  <functionGroups builtInGroupCount="19"/>
  <definedNames>
    <definedName name="_xlnm._FilterDatabase" localSheetId="0" hidden="1">PRÉSTAMOS!$A$1:$X$118</definedName>
    <definedName name="DatosExternos_1" localSheetId="4" hidden="1">CAJA!$A$1:$H$412</definedName>
    <definedName name="DatosExternos_3" localSheetId="3" hidden="1">'Visual para Combinacion'!$A$1:$AB$121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2" i="4" l="1"/>
  <c r="R122" i="4" s="1"/>
  <c r="K122" i="4"/>
  <c r="L122" i="4" a="1"/>
  <c r="L122" i="4" s="1"/>
  <c r="M122" i="4"/>
  <c r="N122" i="4"/>
  <c r="O122" i="4"/>
  <c r="H105" i="3"/>
  <c r="I121" i="4"/>
  <c r="R121" i="4" s="1"/>
  <c r="K121" i="4"/>
  <c r="L121" i="4" a="1"/>
  <c r="L121" i="4" s="1"/>
  <c r="M121" i="4"/>
  <c r="N121" i="4"/>
  <c r="O121" i="4"/>
  <c r="I120" i="4"/>
  <c r="R120" i="4" s="1"/>
  <c r="K120" i="4"/>
  <c r="L120" i="4" a="1"/>
  <c r="L120" i="4" s="1"/>
  <c r="M120" i="4"/>
  <c r="N120" i="4"/>
  <c r="O120" i="4"/>
  <c r="E103" i="3"/>
  <c r="F103" i="3"/>
  <c r="G103" i="3"/>
  <c r="H103" i="3"/>
  <c r="I103" i="3"/>
  <c r="I119" i="4"/>
  <c r="R119" i="4" s="1"/>
  <c r="K119" i="4"/>
  <c r="L119" i="4" a="1"/>
  <c r="L119" i="4"/>
  <c r="M119" i="4"/>
  <c r="N119" i="4"/>
  <c r="O119" i="4"/>
  <c r="F102" i="3"/>
  <c r="G102" i="3"/>
  <c r="H102" i="3"/>
  <c r="I102" i="3"/>
  <c r="D120" i="4" a="1"/>
  <c r="D122" i="4" a="1"/>
  <c r="D121" i="4" a="1"/>
  <c r="D119" i="4" a="1"/>
  <c r="D122" i="4" l="1"/>
  <c r="D120" i="4"/>
  <c r="D119" i="4"/>
  <c r="D121" i="4"/>
  <c r="I118" i="4"/>
  <c r="R118" i="4" s="1"/>
  <c r="K118" i="4"/>
  <c r="L118" i="4" a="1"/>
  <c r="L118" i="4" s="1"/>
  <c r="M118" i="4"/>
  <c r="N118" i="4"/>
  <c r="O118" i="4"/>
  <c r="I117" i="4"/>
  <c r="R117" i="4" s="1"/>
  <c r="K117" i="4"/>
  <c r="L117" i="4" a="1"/>
  <c r="L117" i="4" s="1"/>
  <c r="M117" i="4"/>
  <c r="N117" i="4"/>
  <c r="I100" i="3"/>
  <c r="H100" i="3"/>
  <c r="G100" i="3"/>
  <c r="F100" i="3"/>
  <c r="E100" i="3"/>
  <c r="D100" i="3"/>
  <c r="C100" i="3"/>
  <c r="A100" i="3"/>
  <c r="I116" i="4"/>
  <c r="R116" i="4" s="1"/>
  <c r="K116" i="4"/>
  <c r="L116" i="4" a="1"/>
  <c r="L116" i="4" s="1"/>
  <c r="M116" i="4"/>
  <c r="N116" i="4"/>
  <c r="I115" i="4"/>
  <c r="R115" i="4" s="1"/>
  <c r="K115" i="4"/>
  <c r="L115" i="4" a="1"/>
  <c r="L115" i="4" s="1"/>
  <c r="M115" i="4"/>
  <c r="N115" i="4"/>
  <c r="I114" i="4"/>
  <c r="R114" i="4" s="1"/>
  <c r="K114" i="4"/>
  <c r="L114" i="4" a="1"/>
  <c r="L114" i="4" s="1"/>
  <c r="M114" i="4"/>
  <c r="N114" i="4"/>
  <c r="I113" i="4"/>
  <c r="R113" i="4" s="1"/>
  <c r="K113" i="4"/>
  <c r="L113" i="4" a="1"/>
  <c r="L113" i="4" s="1"/>
  <c r="M113" i="4"/>
  <c r="N113" i="4"/>
  <c r="I112" i="4"/>
  <c r="R112" i="4" s="1"/>
  <c r="K112" i="4"/>
  <c r="L112" i="4" a="1"/>
  <c r="L112" i="4" s="1"/>
  <c r="M112" i="4"/>
  <c r="N112" i="4"/>
  <c r="F122" i="4" a="1"/>
  <c r="E121" i="4" a="1"/>
  <c r="E122" i="4" a="1"/>
  <c r="F121" i="4" a="1"/>
  <c r="D114" i="4" a="1"/>
  <c r="D115" i="4" a="1"/>
  <c r="D112" i="4" a="1"/>
  <c r="D118" i="4" a="1"/>
  <c r="E119" i="4" a="1"/>
  <c r="F120" i="4" a="1"/>
  <c r="E120" i="4" a="1"/>
  <c r="D113" i="4" a="1"/>
  <c r="F119" i="4" a="1"/>
  <c r="D117" i="4" a="1"/>
  <c r="D116" i="4" a="1"/>
  <c r="E122" i="4" l="1"/>
  <c r="F122" i="4"/>
  <c r="D117" i="4"/>
  <c r="D118" i="4"/>
  <c r="D114" i="4"/>
  <c r="D112" i="4"/>
  <c r="D115" i="4"/>
  <c r="E121" i="4"/>
  <c r="F121" i="4"/>
  <c r="E119" i="4"/>
  <c r="F119" i="4"/>
  <c r="D116" i="4"/>
  <c r="D113" i="4"/>
  <c r="E120" i="4"/>
  <c r="F120" i="4"/>
  <c r="I109" i="4"/>
  <c r="B111" i="4"/>
  <c r="C111" i="4"/>
  <c r="G111" i="4"/>
  <c r="I111" i="4"/>
  <c r="R111" i="4" s="1"/>
  <c r="J111" i="4"/>
  <c r="K111" i="4"/>
  <c r="L111" i="4" a="1"/>
  <c r="L111" i="4" s="1"/>
  <c r="M111" i="4"/>
  <c r="N111" i="4"/>
  <c r="O111" i="4"/>
  <c r="B110" i="4"/>
  <c r="C110" i="4"/>
  <c r="G110" i="4"/>
  <c r="I110" i="4"/>
  <c r="R110" i="4" s="1"/>
  <c r="J110" i="4"/>
  <c r="K110" i="4"/>
  <c r="L110" i="4" a="1"/>
  <c r="L110" i="4" s="1"/>
  <c r="M110" i="4"/>
  <c r="N110" i="4"/>
  <c r="O110" i="4"/>
  <c r="B109" i="4"/>
  <c r="C109" i="4"/>
  <c r="G109" i="4"/>
  <c r="J109" i="4"/>
  <c r="K109" i="4"/>
  <c r="L109" i="4" a="1"/>
  <c r="L109" i="4" s="1"/>
  <c r="M109" i="4"/>
  <c r="N109" i="4"/>
  <c r="O109" i="4"/>
  <c r="C97" i="3"/>
  <c r="F97" i="3"/>
  <c r="G97" i="3"/>
  <c r="I97" i="3"/>
  <c r="C96" i="3"/>
  <c r="F96" i="3"/>
  <c r="G96" i="3"/>
  <c r="H96" i="3"/>
  <c r="I96" i="3"/>
  <c r="A94" i="3"/>
  <c r="G90" i="3"/>
  <c r="F90" i="3"/>
  <c r="E91" i="3"/>
  <c r="D91" i="3"/>
  <c r="D92" i="3"/>
  <c r="D93" i="3"/>
  <c r="D94" i="3"/>
  <c r="C94" i="3"/>
  <c r="E94" i="3"/>
  <c r="F94" i="3"/>
  <c r="G94" i="3"/>
  <c r="H94" i="3"/>
  <c r="I94" i="3"/>
  <c r="A93" i="3"/>
  <c r="C93" i="3"/>
  <c r="E93" i="3"/>
  <c r="F93" i="3"/>
  <c r="G93" i="3"/>
  <c r="H93" i="3"/>
  <c r="I93" i="3"/>
  <c r="A91" i="3"/>
  <c r="A92" i="3"/>
  <c r="C92" i="3"/>
  <c r="E92" i="3"/>
  <c r="F92" i="3"/>
  <c r="G92" i="3"/>
  <c r="H92" i="3"/>
  <c r="I92" i="3"/>
  <c r="L110" i="1"/>
  <c r="N110" i="1" s="1"/>
  <c r="L111" i="1"/>
  <c r="N111" i="1" s="1"/>
  <c r="L112" i="1"/>
  <c r="N112" i="1" s="1"/>
  <c r="L113" i="1"/>
  <c r="N113" i="1" s="1"/>
  <c r="L114" i="1"/>
  <c r="N114" i="1" s="1"/>
  <c r="L115" i="1"/>
  <c r="N115" i="1" s="1"/>
  <c r="L109" i="1"/>
  <c r="N109" i="1" s="1"/>
  <c r="L108" i="1"/>
  <c r="N108" i="1" s="1"/>
  <c r="I108" i="4"/>
  <c r="R108" i="4" s="1"/>
  <c r="K108" i="4"/>
  <c r="L108" i="4" a="1"/>
  <c r="L108" i="4" s="1"/>
  <c r="M108" i="4"/>
  <c r="N108" i="4"/>
  <c r="F117" i="4" a="1"/>
  <c r="F114" i="4" a="1"/>
  <c r="F113" i="4" a="1"/>
  <c r="E117" i="4" a="1"/>
  <c r="E118" i="4" a="1"/>
  <c r="D108" i="4" a="1"/>
  <c r="F112" i="4" a="1"/>
  <c r="E113" i="4" a="1"/>
  <c r="F118" i="4" a="1"/>
  <c r="E114" i="4" a="1"/>
  <c r="D110" i="4" a="1"/>
  <c r="D111" i="4" a="1"/>
  <c r="F116" i="4" a="1"/>
  <c r="D109" i="4" a="1"/>
  <c r="E112" i="4" a="1"/>
  <c r="F115" i="4" a="1"/>
  <c r="E115" i="4" a="1"/>
  <c r="E116" i="4" a="1"/>
  <c r="E115" i="4" l="1"/>
  <c r="F115" i="4"/>
  <c r="E112" i="4"/>
  <c r="F112" i="4"/>
  <c r="E113" i="4"/>
  <c r="F113" i="4"/>
  <c r="F114" i="4"/>
  <c r="E114" i="4"/>
  <c r="E116" i="4"/>
  <c r="F116" i="4"/>
  <c r="E118" i="4"/>
  <c r="F118" i="4"/>
  <c r="E117" i="4"/>
  <c r="F117" i="4"/>
  <c r="R109" i="4"/>
  <c r="D110" i="4"/>
  <c r="D111" i="4"/>
  <c r="D108" i="4"/>
  <c r="D109" i="4"/>
  <c r="B104" i="4"/>
  <c r="E108" i="4" a="1"/>
  <c r="F111" i="4" a="1"/>
  <c r="F109" i="4" a="1"/>
  <c r="E109" i="4" a="1"/>
  <c r="F110" i="4" a="1"/>
  <c r="E110" i="4" a="1"/>
  <c r="E111" i="4" a="1"/>
  <c r="F108" i="4" a="1"/>
  <c r="F111" i="4" l="1"/>
  <c r="E111" i="4"/>
  <c r="F110" i="4"/>
  <c r="E110" i="4"/>
  <c r="E109" i="4"/>
  <c r="F109" i="4"/>
  <c r="E108" i="4"/>
  <c r="F108" i="4"/>
  <c r="R41" i="4"/>
  <c r="R69" i="4"/>
  <c r="B69" i="4"/>
  <c r="I2" i="4"/>
  <c r="R2" i="4" s="1"/>
  <c r="I3" i="4"/>
  <c r="R3" i="4" s="1"/>
  <c r="I4" i="4"/>
  <c r="R4" i="4" s="1"/>
  <c r="I5" i="4"/>
  <c r="R5" i="4" s="1"/>
  <c r="I6" i="4"/>
  <c r="R6" i="4" s="1"/>
  <c r="I7" i="4"/>
  <c r="R7" i="4" s="1"/>
  <c r="I8" i="4"/>
  <c r="R8" i="4" s="1"/>
  <c r="I9" i="4"/>
  <c r="R9" i="4" s="1"/>
  <c r="I10" i="4"/>
  <c r="R10" i="4" s="1"/>
  <c r="I11" i="4"/>
  <c r="R11" i="4" s="1"/>
  <c r="I12" i="4"/>
  <c r="R12" i="4" s="1"/>
  <c r="I13" i="4"/>
  <c r="R13" i="4" s="1"/>
  <c r="I14" i="4"/>
  <c r="R14" i="4" s="1"/>
  <c r="I15" i="4"/>
  <c r="R15" i="4" s="1"/>
  <c r="I16" i="4"/>
  <c r="R16" i="4" s="1"/>
  <c r="I17" i="4"/>
  <c r="R17" i="4" s="1"/>
  <c r="I18" i="4"/>
  <c r="R18" i="4" s="1"/>
  <c r="I19" i="4"/>
  <c r="R19" i="4" s="1"/>
  <c r="I20" i="4"/>
  <c r="R20" i="4" s="1"/>
  <c r="I21" i="4"/>
  <c r="R21" i="4" s="1"/>
  <c r="I22" i="4"/>
  <c r="R22" i="4" s="1"/>
  <c r="I23" i="4"/>
  <c r="R23" i="4" s="1"/>
  <c r="I24" i="4"/>
  <c r="R24" i="4" s="1"/>
  <c r="I25" i="4"/>
  <c r="R25" i="4" s="1"/>
  <c r="I26" i="4"/>
  <c r="R26" i="4" s="1"/>
  <c r="I27" i="4"/>
  <c r="R27" i="4" s="1"/>
  <c r="I28" i="4"/>
  <c r="R28" i="4" s="1"/>
  <c r="I29" i="4"/>
  <c r="R29" i="4" s="1"/>
  <c r="I30" i="4"/>
  <c r="R30" i="4" s="1"/>
  <c r="I31" i="4"/>
  <c r="R31" i="4" s="1"/>
  <c r="I32" i="4"/>
  <c r="R32" i="4" s="1"/>
  <c r="I33" i="4"/>
  <c r="R33" i="4" s="1"/>
  <c r="I34" i="4"/>
  <c r="R34" i="4" s="1"/>
  <c r="I35" i="4"/>
  <c r="R35" i="4" s="1"/>
  <c r="I36" i="4"/>
  <c r="R36" i="4" s="1"/>
  <c r="I37" i="4"/>
  <c r="R37" i="4" s="1"/>
  <c r="I38" i="4"/>
  <c r="R38" i="4" s="1"/>
  <c r="I39" i="4"/>
  <c r="R39" i="4" s="1"/>
  <c r="I40" i="4"/>
  <c r="R40" i="4" s="1"/>
  <c r="I42" i="4"/>
  <c r="R42" i="4" s="1"/>
  <c r="I43" i="4"/>
  <c r="R43" i="4" s="1"/>
  <c r="I44" i="4"/>
  <c r="R44" i="4" s="1"/>
  <c r="I45" i="4"/>
  <c r="R45" i="4" s="1"/>
  <c r="I46" i="4"/>
  <c r="R46" i="4" s="1"/>
  <c r="I47" i="4"/>
  <c r="R47" i="4" s="1"/>
  <c r="I48" i="4"/>
  <c r="R48" i="4" s="1"/>
  <c r="I49" i="4"/>
  <c r="R49" i="4" s="1"/>
  <c r="I50" i="4"/>
  <c r="R50" i="4" s="1"/>
  <c r="I51" i="4"/>
  <c r="R51" i="4" s="1"/>
  <c r="I52" i="4"/>
  <c r="R52" i="4" s="1"/>
  <c r="I53" i="4"/>
  <c r="R53" i="4" s="1"/>
  <c r="I54" i="4"/>
  <c r="R54" i="4" s="1"/>
  <c r="I55" i="4"/>
  <c r="R55" i="4" s="1"/>
  <c r="I56" i="4"/>
  <c r="R56" i="4" s="1"/>
  <c r="I57" i="4"/>
  <c r="R57" i="4" s="1"/>
  <c r="I58" i="4"/>
  <c r="R58" i="4" s="1"/>
  <c r="I59" i="4"/>
  <c r="R59" i="4" s="1"/>
  <c r="I60" i="4"/>
  <c r="R60" i="4" s="1"/>
  <c r="I61" i="4"/>
  <c r="R61" i="4" s="1"/>
  <c r="I62" i="4"/>
  <c r="R62" i="4" s="1"/>
  <c r="I63" i="4"/>
  <c r="R63" i="4" s="1"/>
  <c r="I64" i="4"/>
  <c r="R64" i="4" s="1"/>
  <c r="I65" i="4"/>
  <c r="R65" i="4" s="1"/>
  <c r="I66" i="4"/>
  <c r="R66" i="4" s="1"/>
  <c r="I67" i="4"/>
  <c r="R67" i="4" s="1"/>
  <c r="I68" i="4"/>
  <c r="R68" i="4" s="1"/>
  <c r="I69" i="4"/>
  <c r="I70" i="4"/>
  <c r="R70" i="4" s="1"/>
  <c r="I71" i="4"/>
  <c r="R71" i="4" s="1"/>
  <c r="I72" i="4"/>
  <c r="R72" i="4" s="1"/>
  <c r="I73" i="4"/>
  <c r="R73" i="4" s="1"/>
  <c r="I74" i="4"/>
  <c r="R74" i="4" s="1"/>
  <c r="I75" i="4"/>
  <c r="R75" i="4" s="1"/>
  <c r="I76" i="4"/>
  <c r="R76" i="4" s="1"/>
  <c r="I77" i="4"/>
  <c r="R77" i="4" s="1"/>
  <c r="I78" i="4"/>
  <c r="R78" i="4" s="1"/>
  <c r="I79" i="4"/>
  <c r="R79" i="4" s="1"/>
  <c r="I80" i="4"/>
  <c r="R80" i="4" s="1"/>
  <c r="I81" i="4"/>
  <c r="R81" i="4" s="1"/>
  <c r="I82" i="4"/>
  <c r="R82" i="4" s="1"/>
  <c r="I83" i="4"/>
  <c r="R83" i="4" s="1"/>
  <c r="I84" i="4"/>
  <c r="R84" i="4" s="1"/>
  <c r="I85" i="4"/>
  <c r="R85" i="4" s="1"/>
  <c r="I86" i="4"/>
  <c r="R86" i="4" s="1"/>
  <c r="I87" i="4"/>
  <c r="R87" i="4" s="1"/>
  <c r="I88" i="4"/>
  <c r="R88" i="4" s="1"/>
  <c r="I89" i="4"/>
  <c r="R89" i="4" s="1"/>
  <c r="I90" i="4"/>
  <c r="R90" i="4" s="1"/>
  <c r="I91" i="4"/>
  <c r="R91" i="4" s="1"/>
  <c r="I92" i="4"/>
  <c r="R92" i="4" s="1"/>
  <c r="I93" i="4"/>
  <c r="R93" i="4" s="1"/>
  <c r="I94" i="4"/>
  <c r="R94" i="4" s="1"/>
  <c r="I95" i="4"/>
  <c r="R95" i="4" s="1"/>
  <c r="I96" i="4"/>
  <c r="R96" i="4" s="1"/>
  <c r="I97" i="4"/>
  <c r="R97" i="4" s="1"/>
  <c r="I98" i="4"/>
  <c r="R98" i="4" s="1"/>
  <c r="I99" i="4"/>
  <c r="R99" i="4" s="1"/>
  <c r="I100" i="4"/>
  <c r="R100" i="4" s="1"/>
  <c r="I101" i="4"/>
  <c r="R101" i="4" s="1"/>
  <c r="I102" i="4"/>
  <c r="R102" i="4" s="1"/>
  <c r="I103" i="4"/>
  <c r="R103" i="4" s="1"/>
  <c r="I104" i="4"/>
  <c r="R104" i="4" s="1"/>
  <c r="I105" i="4"/>
  <c r="R105" i="4" s="1"/>
  <c r="I106" i="4"/>
  <c r="R106" i="4" s="1"/>
  <c r="I107" i="4"/>
  <c r="R107" i="4" s="1"/>
  <c r="B2" i="4" l="1"/>
  <c r="C87" i="3" l="1"/>
  <c r="B105" i="4"/>
  <c r="B106" i="4"/>
  <c r="B107" i="4"/>
  <c r="C105" i="4"/>
  <c r="C106" i="4"/>
  <c r="C107" i="4"/>
  <c r="G105" i="4"/>
  <c r="G106" i="4"/>
  <c r="G107" i="4"/>
  <c r="J105" i="4"/>
  <c r="J106" i="4"/>
  <c r="J107" i="4"/>
  <c r="K105" i="4"/>
  <c r="K106" i="4"/>
  <c r="K107" i="4"/>
  <c r="L105" i="4" a="1"/>
  <c r="L105" i="4" s="1"/>
  <c r="L106" i="4" a="1"/>
  <c r="L106" i="4" s="1"/>
  <c r="L107" i="4" a="1"/>
  <c r="L107" i="4" s="1"/>
  <c r="M105" i="4"/>
  <c r="M106" i="4"/>
  <c r="M107" i="4"/>
  <c r="N105" i="4"/>
  <c r="N106" i="4"/>
  <c r="N107" i="4"/>
  <c r="O105" i="4"/>
  <c r="O106" i="4"/>
  <c r="O107" i="4"/>
  <c r="D87" i="3"/>
  <c r="E87" i="3"/>
  <c r="F87" i="3"/>
  <c r="G87" i="3"/>
  <c r="H87" i="3"/>
  <c r="I87" i="3"/>
  <c r="C88" i="3"/>
  <c r="D88" i="3"/>
  <c r="E88" i="3"/>
  <c r="F88" i="3"/>
  <c r="G88" i="3"/>
  <c r="H88" i="3"/>
  <c r="I88" i="3"/>
  <c r="C89" i="3"/>
  <c r="D89" i="3"/>
  <c r="E89" i="3"/>
  <c r="F89" i="3"/>
  <c r="G89" i="3"/>
  <c r="H89" i="3"/>
  <c r="I89" i="3"/>
  <c r="C90" i="3"/>
  <c r="D90" i="3"/>
  <c r="E90" i="3"/>
  <c r="H90" i="3"/>
  <c r="I90" i="3"/>
  <c r="A87" i="3"/>
  <c r="A88" i="3"/>
  <c r="A89" i="3"/>
  <c r="A90" i="3"/>
  <c r="L107" i="1"/>
  <c r="N107" i="1" s="1"/>
  <c r="L106" i="1"/>
  <c r="N106" i="1" s="1"/>
  <c r="L105" i="1"/>
  <c r="N105" i="1" s="1"/>
  <c r="L104" i="1"/>
  <c r="N104" i="1" s="1"/>
  <c r="D107" i="4" a="1"/>
  <c r="D105" i="4" a="1"/>
  <c r="D106" i="4" a="1"/>
  <c r="D106" i="4" l="1"/>
  <c r="D107" i="4"/>
  <c r="D105" i="4"/>
  <c r="F107" i="4" a="1"/>
  <c r="F105" i="4" a="1"/>
  <c r="E105" i="4" a="1"/>
  <c r="F106" i="4" a="1"/>
  <c r="E107" i="4" a="1"/>
  <c r="E106" i="4" a="1"/>
  <c r="E105" i="4" l="1"/>
  <c r="F105" i="4"/>
  <c r="F107" i="4"/>
  <c r="E107" i="4"/>
  <c r="E106" i="4"/>
  <c r="F106" i="4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100" i="4"/>
  <c r="N101" i="4"/>
  <c r="N102" i="4"/>
  <c r="N103" i="4"/>
  <c r="N104" i="4"/>
  <c r="N2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100" i="4"/>
  <c r="M101" i="4"/>
  <c r="M102" i="4"/>
  <c r="M103" i="4"/>
  <c r="M104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100" i="4"/>
  <c r="K101" i="4"/>
  <c r="K102" i="4"/>
  <c r="K103" i="4"/>
  <c r="K104" i="4"/>
  <c r="L2" i="4" a="1"/>
  <c r="L2" i="4" s="1"/>
  <c r="L3" i="4" a="1"/>
  <c r="L3" i="4" s="1"/>
  <c r="L4" i="4" a="1"/>
  <c r="L4" i="4" s="1"/>
  <c r="L5" i="4" a="1"/>
  <c r="L5" i="4" s="1"/>
  <c r="L6" i="4" a="1"/>
  <c r="L6" i="4" s="1"/>
  <c r="L7" i="4" a="1"/>
  <c r="L7" i="4" s="1"/>
  <c r="L8" i="4" a="1"/>
  <c r="L8" i="4" s="1"/>
  <c r="L9" i="4" a="1"/>
  <c r="L9" i="4" s="1"/>
  <c r="L10" i="4" a="1"/>
  <c r="L10" i="4" s="1"/>
  <c r="L11" i="4" a="1"/>
  <c r="L11" i="4" s="1"/>
  <c r="L12" i="4" a="1"/>
  <c r="L12" i="4" s="1"/>
  <c r="L13" i="4" a="1"/>
  <c r="L13" i="4" s="1"/>
  <c r="L14" i="4" a="1"/>
  <c r="L14" i="4" s="1"/>
  <c r="L15" i="4" a="1"/>
  <c r="L15" i="4" s="1"/>
  <c r="L16" i="4" a="1"/>
  <c r="L16" i="4" s="1"/>
  <c r="L17" i="4" a="1"/>
  <c r="L17" i="4" s="1"/>
  <c r="L18" i="4" a="1"/>
  <c r="L18" i="4" s="1"/>
  <c r="L19" i="4" a="1"/>
  <c r="L19" i="4" s="1"/>
  <c r="L20" i="4" a="1"/>
  <c r="L20" i="4" s="1"/>
  <c r="L21" i="4" a="1"/>
  <c r="L21" i="4" s="1"/>
  <c r="L22" i="4" a="1"/>
  <c r="L22" i="4" s="1"/>
  <c r="L23" i="4" a="1"/>
  <c r="L23" i="4" s="1"/>
  <c r="L24" i="4" a="1"/>
  <c r="L24" i="4" s="1"/>
  <c r="L25" i="4" a="1"/>
  <c r="L25" i="4" s="1"/>
  <c r="L26" i="4" a="1"/>
  <c r="L26" i="4" s="1"/>
  <c r="L27" i="4" a="1"/>
  <c r="L27" i="4" s="1"/>
  <c r="L28" i="4" a="1"/>
  <c r="L28" i="4" s="1"/>
  <c r="L29" i="4" a="1"/>
  <c r="L29" i="4" s="1"/>
  <c r="L30" i="4" a="1"/>
  <c r="L30" i="4" s="1"/>
  <c r="L31" i="4" a="1"/>
  <c r="L31" i="4" s="1"/>
  <c r="L32" i="4" a="1"/>
  <c r="L32" i="4" s="1"/>
  <c r="L33" i="4" a="1"/>
  <c r="L33" i="4" s="1"/>
  <c r="L34" i="4" a="1"/>
  <c r="L34" i="4" s="1"/>
  <c r="L35" i="4" a="1"/>
  <c r="L35" i="4" s="1"/>
  <c r="L36" i="4" a="1"/>
  <c r="L36" i="4" s="1"/>
  <c r="L37" i="4" a="1"/>
  <c r="L37" i="4" s="1"/>
  <c r="L38" i="4" a="1"/>
  <c r="L38" i="4" s="1"/>
  <c r="L39" i="4" a="1"/>
  <c r="L39" i="4" s="1"/>
  <c r="L40" i="4" a="1"/>
  <c r="L40" i="4" s="1"/>
  <c r="L41" i="4" a="1"/>
  <c r="L41" i="4" s="1"/>
  <c r="L42" i="4" a="1"/>
  <c r="L42" i="4" s="1"/>
  <c r="L43" i="4" a="1"/>
  <c r="L43" i="4" s="1"/>
  <c r="L44" i="4" a="1"/>
  <c r="L44" i="4" s="1"/>
  <c r="L45" i="4" a="1"/>
  <c r="L45" i="4" s="1"/>
  <c r="L46" i="4" a="1"/>
  <c r="L46" i="4" s="1"/>
  <c r="L47" i="4" a="1"/>
  <c r="L47" i="4" s="1"/>
  <c r="L48" i="4" a="1"/>
  <c r="L48" i="4" s="1"/>
  <c r="L49" i="4" a="1"/>
  <c r="L49" i="4" s="1"/>
  <c r="L50" i="4" a="1"/>
  <c r="L50" i="4" s="1"/>
  <c r="L51" i="4" a="1"/>
  <c r="L51" i="4" s="1"/>
  <c r="L52" i="4" a="1"/>
  <c r="L52" i="4" s="1"/>
  <c r="L53" i="4" a="1"/>
  <c r="L53" i="4" s="1"/>
  <c r="L54" i="4" a="1"/>
  <c r="L54" i="4" s="1"/>
  <c r="L55" i="4" a="1"/>
  <c r="L55" i="4" s="1"/>
  <c r="L56" i="4" a="1"/>
  <c r="L56" i="4" s="1"/>
  <c r="L57" i="4" a="1"/>
  <c r="L57" i="4" s="1"/>
  <c r="L58" i="4" a="1"/>
  <c r="L58" i="4" s="1"/>
  <c r="L59" i="4" a="1"/>
  <c r="L59" i="4" s="1"/>
  <c r="L60" i="4" a="1"/>
  <c r="L60" i="4" s="1"/>
  <c r="L61" i="4" a="1"/>
  <c r="L61" i="4" s="1"/>
  <c r="L62" i="4" a="1"/>
  <c r="L62" i="4" s="1"/>
  <c r="L63" i="4" a="1"/>
  <c r="L63" i="4" s="1"/>
  <c r="L64" i="4" a="1"/>
  <c r="L64" i="4" s="1"/>
  <c r="L65" i="4" a="1"/>
  <c r="L65" i="4" s="1"/>
  <c r="L66" i="4" a="1"/>
  <c r="L66" i="4" s="1"/>
  <c r="L67" i="4" a="1"/>
  <c r="L67" i="4" s="1"/>
  <c r="L68" i="4" a="1"/>
  <c r="L68" i="4" s="1"/>
  <c r="L69" i="4" a="1"/>
  <c r="L69" i="4" s="1"/>
  <c r="L70" i="4" a="1"/>
  <c r="L70" i="4" s="1"/>
  <c r="L71" i="4" a="1"/>
  <c r="L71" i="4" s="1"/>
  <c r="L72" i="4" a="1"/>
  <c r="L72" i="4" s="1"/>
  <c r="L73" i="4" a="1"/>
  <c r="L73" i="4" s="1"/>
  <c r="L74" i="4" a="1"/>
  <c r="L74" i="4" s="1"/>
  <c r="L75" i="4" a="1"/>
  <c r="L75" i="4" s="1"/>
  <c r="L76" i="4" a="1"/>
  <c r="L76" i="4" s="1"/>
  <c r="L77" i="4" a="1"/>
  <c r="L77" i="4" s="1"/>
  <c r="L78" i="4" a="1"/>
  <c r="L78" i="4" s="1"/>
  <c r="L79" i="4" a="1"/>
  <c r="L79" i="4" s="1"/>
  <c r="L80" i="4" a="1"/>
  <c r="L80" i="4" s="1"/>
  <c r="L81" i="4" a="1"/>
  <c r="L81" i="4" s="1"/>
  <c r="L82" i="4" a="1"/>
  <c r="L82" i="4" s="1"/>
  <c r="L83" i="4" a="1"/>
  <c r="L83" i="4" s="1"/>
  <c r="L84" i="4" a="1"/>
  <c r="L84" i="4" s="1"/>
  <c r="L85" i="4" a="1"/>
  <c r="L85" i="4" s="1"/>
  <c r="L86" i="4" a="1"/>
  <c r="L86" i="4" s="1"/>
  <c r="L87" i="4" a="1"/>
  <c r="L87" i="4" s="1"/>
  <c r="L88" i="4" a="1"/>
  <c r="L88" i="4" s="1"/>
  <c r="L89" i="4" a="1"/>
  <c r="L89" i="4" s="1"/>
  <c r="L90" i="4" a="1"/>
  <c r="L90" i="4" s="1"/>
  <c r="L91" i="4" a="1"/>
  <c r="L91" i="4" s="1"/>
  <c r="L92" i="4" a="1"/>
  <c r="L92" i="4" s="1"/>
  <c r="L93" i="4" a="1"/>
  <c r="L93" i="4" s="1"/>
  <c r="L94" i="4" a="1"/>
  <c r="L94" i="4" s="1"/>
  <c r="L95" i="4" a="1"/>
  <c r="L95" i="4" s="1"/>
  <c r="L96" i="4" a="1"/>
  <c r="L96" i="4" s="1"/>
  <c r="L97" i="4" a="1"/>
  <c r="L97" i="4" s="1"/>
  <c r="L98" i="4" a="1"/>
  <c r="L98" i="4" s="1"/>
  <c r="L100" i="4" a="1"/>
  <c r="L100" i="4" s="1"/>
  <c r="L101" i="4" a="1"/>
  <c r="L101" i="4" s="1"/>
  <c r="L102" i="4" a="1"/>
  <c r="L102" i="4" s="1"/>
  <c r="L103" i="4" a="1"/>
  <c r="L103" i="4" s="1"/>
  <c r="L104" i="4" a="1"/>
  <c r="L104" i="4" s="1"/>
  <c r="B98" i="4"/>
  <c r="B99" i="4"/>
  <c r="B100" i="4"/>
  <c r="B101" i="4"/>
  <c r="B102" i="4"/>
  <c r="B103" i="4"/>
  <c r="C98" i="4"/>
  <c r="C99" i="4"/>
  <c r="C100" i="4"/>
  <c r="C101" i="4"/>
  <c r="C102" i="4"/>
  <c r="C103" i="4"/>
  <c r="G98" i="4"/>
  <c r="G99" i="4"/>
  <c r="G100" i="4"/>
  <c r="G101" i="4"/>
  <c r="G102" i="4"/>
  <c r="G103" i="4"/>
  <c r="J98" i="4"/>
  <c r="J99" i="4"/>
  <c r="J100" i="4"/>
  <c r="J101" i="4"/>
  <c r="J102" i="4"/>
  <c r="J103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2" i="4"/>
  <c r="D99" i="4" a="1"/>
  <c r="D100" i="4" a="1"/>
  <c r="D98" i="4" a="1"/>
  <c r="D102" i="4" a="1"/>
  <c r="D101" i="4" a="1"/>
  <c r="D103" i="4" a="1"/>
  <c r="J104" i="4" l="1"/>
  <c r="C104" i="4"/>
  <c r="G104" i="4"/>
  <c r="D100" i="4"/>
  <c r="D99" i="4"/>
  <c r="D103" i="4"/>
  <c r="D102" i="4"/>
  <c r="D101" i="4"/>
  <c r="D9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L56" i="1"/>
  <c r="N56" i="1" s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2" i="4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L103" i="1"/>
  <c r="N103" i="1" s="1"/>
  <c r="D43" i="4" a="1"/>
  <c r="D76" i="4" a="1"/>
  <c r="E99" i="4" a="1"/>
  <c r="D86" i="4" a="1"/>
  <c r="D97" i="4" a="1"/>
  <c r="D46" i="4" a="1"/>
  <c r="D2" i="4" a="1"/>
  <c r="D41" i="4" a="1"/>
  <c r="D69" i="4" a="1"/>
  <c r="D25" i="4" a="1"/>
  <c r="D71" i="4" a="1"/>
  <c r="D42" i="4" a="1"/>
  <c r="D61" i="4" a="1"/>
  <c r="D32" i="4" a="1"/>
  <c r="D30" i="4" a="1"/>
  <c r="D15" i="4" a="1"/>
  <c r="F99" i="4" a="1"/>
  <c r="D75" i="4" a="1"/>
  <c r="D82" i="4" a="1"/>
  <c r="D40" i="4" a="1"/>
  <c r="E103" i="4" a="1"/>
  <c r="D18" i="4" a="1"/>
  <c r="D4" i="4" a="1"/>
  <c r="F101" i="4" a="1"/>
  <c r="D5" i="4" a="1"/>
  <c r="D52" i="4" a="1"/>
  <c r="D90" i="4" a="1"/>
  <c r="D65" i="4" a="1"/>
  <c r="E102" i="4" a="1"/>
  <c r="D50" i="4" a="1"/>
  <c r="D91" i="4" a="1"/>
  <c r="D74" i="4" a="1"/>
  <c r="F98" i="4" a="1"/>
  <c r="D53" i="4" a="1"/>
  <c r="D37" i="4" a="1"/>
  <c r="D6" i="4" a="1"/>
  <c r="F103" i="4" a="1"/>
  <c r="D87" i="4" a="1"/>
  <c r="F102" i="4" a="1"/>
  <c r="E100" i="4" a="1"/>
  <c r="E98" i="4" a="1"/>
  <c r="D23" i="4" a="1"/>
  <c r="D95" i="4" a="1"/>
  <c r="D94" i="4" a="1"/>
  <c r="D29" i="4" a="1"/>
  <c r="D57" i="4" a="1"/>
  <c r="D7" i="4" a="1"/>
  <c r="D77" i="4" a="1"/>
  <c r="D36" i="4" a="1"/>
  <c r="D3" i="4" a="1"/>
  <c r="D11" i="4" a="1"/>
  <c r="D24" i="4" a="1"/>
  <c r="D31" i="4" a="1"/>
  <c r="D62" i="4" a="1"/>
  <c r="D89" i="4" a="1"/>
  <c r="D38" i="4" a="1"/>
  <c r="D27" i="4" a="1"/>
  <c r="D64" i="4" a="1"/>
  <c r="D33" i="4" a="1"/>
  <c r="D104" i="4" a="1"/>
  <c r="D20" i="4" a="1"/>
  <c r="D10" i="4" a="1"/>
  <c r="D66" i="4" a="1"/>
  <c r="D51" i="4" a="1"/>
  <c r="D92" i="4" a="1"/>
  <c r="D88" i="4" a="1"/>
  <c r="D70" i="4" a="1"/>
  <c r="D22" i="4" a="1"/>
  <c r="D34" i="4" a="1"/>
  <c r="D79" i="4" a="1"/>
  <c r="D14" i="4" a="1"/>
  <c r="D9" i="4" a="1"/>
  <c r="D96" i="4" a="1"/>
  <c r="D35" i="4" a="1"/>
  <c r="D84" i="4" a="1"/>
  <c r="D63" i="4" a="1"/>
  <c r="D60" i="4" a="1"/>
  <c r="D45" i="4" a="1"/>
  <c r="D17" i="4" a="1"/>
  <c r="F100" i="4" a="1"/>
  <c r="D85" i="4" a="1"/>
  <c r="D28" i="4" a="1"/>
  <c r="D83" i="4" a="1"/>
  <c r="D54" i="4" a="1"/>
  <c r="D13" i="4" a="1"/>
  <c r="D16" i="4" a="1"/>
  <c r="D19" i="4" a="1"/>
  <c r="E101" i="4" a="1"/>
  <c r="D58" i="4" a="1"/>
  <c r="D73" i="4" a="1"/>
  <c r="D47" i="4" a="1"/>
  <c r="D80" i="4" a="1"/>
  <c r="D59" i="4" a="1"/>
  <c r="D68" i="4" a="1"/>
  <c r="D55" i="4" a="1"/>
  <c r="D21" i="4" a="1"/>
  <c r="D8" i="4" a="1"/>
  <c r="D49" i="4" a="1"/>
  <c r="D81" i="4" a="1"/>
  <c r="D26" i="4" a="1"/>
  <c r="D48" i="4" a="1"/>
  <c r="D56" i="4" a="1"/>
  <c r="D93" i="4" a="1"/>
  <c r="D12" i="4" a="1"/>
  <c r="D44" i="4" a="1"/>
  <c r="D67" i="4" a="1"/>
  <c r="D72" i="4" a="1"/>
  <c r="D39" i="4" a="1"/>
  <c r="D78" i="4" a="1"/>
  <c r="D13" i="4" l="1"/>
  <c r="D104" i="4"/>
  <c r="D2" i="4"/>
  <c r="E98" i="4"/>
  <c r="F98" i="4"/>
  <c r="E101" i="4"/>
  <c r="F101" i="4"/>
  <c r="E102" i="4"/>
  <c r="F102" i="4"/>
  <c r="E103" i="4"/>
  <c r="F103" i="4"/>
  <c r="E99" i="4"/>
  <c r="F99" i="4"/>
  <c r="E100" i="4"/>
  <c r="F100" i="4"/>
  <c r="D90" i="4"/>
  <c r="D54" i="4"/>
  <c r="D18" i="4"/>
  <c r="D65" i="4"/>
  <c r="D29" i="4"/>
  <c r="D64" i="4"/>
  <c r="D28" i="4"/>
  <c r="D4" i="4"/>
  <c r="D87" i="4"/>
  <c r="D51" i="4"/>
  <c r="D62" i="4"/>
  <c r="D14" i="4"/>
  <c r="D85" i="4"/>
  <c r="D49" i="4"/>
  <c r="D96" i="4"/>
  <c r="D84" i="4"/>
  <c r="D72" i="4"/>
  <c r="D60" i="4"/>
  <c r="D48" i="4"/>
  <c r="D36" i="4"/>
  <c r="D24" i="4"/>
  <c r="D12" i="4"/>
  <c r="D95" i="4"/>
  <c r="D83" i="4"/>
  <c r="D71" i="4"/>
  <c r="D59" i="4"/>
  <c r="D47" i="4"/>
  <c r="D35" i="4"/>
  <c r="D23" i="4"/>
  <c r="D11" i="4"/>
  <c r="D66" i="4"/>
  <c r="D30" i="4"/>
  <c r="D77" i="4"/>
  <c r="D41" i="4"/>
  <c r="D17" i="4"/>
  <c r="D5" i="4"/>
  <c r="D88" i="4"/>
  <c r="D52" i="4"/>
  <c r="D16" i="4"/>
  <c r="D63" i="4"/>
  <c r="D27" i="4"/>
  <c r="D74" i="4"/>
  <c r="D38" i="4"/>
  <c r="D97" i="4"/>
  <c r="D61" i="4"/>
  <c r="D25" i="4"/>
  <c r="D82" i="4"/>
  <c r="D58" i="4"/>
  <c r="D34" i="4"/>
  <c r="D81" i="4"/>
  <c r="D57" i="4"/>
  <c r="D33" i="4"/>
  <c r="D92" i="4"/>
  <c r="D80" i="4"/>
  <c r="D68" i="4"/>
  <c r="D56" i="4"/>
  <c r="D44" i="4"/>
  <c r="D32" i="4"/>
  <c r="D20" i="4"/>
  <c r="D8" i="4"/>
  <c r="D78" i="4"/>
  <c r="D42" i="4"/>
  <c r="D6" i="4"/>
  <c r="D89" i="4"/>
  <c r="D53" i="4"/>
  <c r="D76" i="4"/>
  <c r="D40" i="4"/>
  <c r="D75" i="4"/>
  <c r="D39" i="4"/>
  <c r="D15" i="4"/>
  <c r="D3" i="4"/>
  <c r="D86" i="4"/>
  <c r="D50" i="4"/>
  <c r="D26" i="4"/>
  <c r="D73" i="4"/>
  <c r="D37" i="4"/>
  <c r="D94" i="4"/>
  <c r="D70" i="4"/>
  <c r="D46" i="4"/>
  <c r="D22" i="4"/>
  <c r="D10" i="4"/>
  <c r="D93" i="4"/>
  <c r="D69" i="4"/>
  <c r="D45" i="4"/>
  <c r="D21" i="4"/>
  <c r="D9" i="4"/>
  <c r="D91" i="4"/>
  <c r="D79" i="4"/>
  <c r="D67" i="4"/>
  <c r="D55" i="4"/>
  <c r="D43" i="4"/>
  <c r="D31" i="4"/>
  <c r="D19" i="4"/>
  <c r="D7" i="4"/>
  <c r="L102" i="1"/>
  <c r="N102" i="1" s="1"/>
  <c r="E91" i="4" a="1"/>
  <c r="E64" i="4" a="1"/>
  <c r="F9" i="4" a="1"/>
  <c r="E90" i="4" a="1"/>
  <c r="E96" i="4" a="1"/>
  <c r="E33" i="4" a="1"/>
  <c r="E34" i="4" a="1"/>
  <c r="F42" i="4" a="1"/>
  <c r="E11" i="4" a="1"/>
  <c r="E5" i="4" a="1"/>
  <c r="E52" i="4" a="1"/>
  <c r="F35" i="4" a="1"/>
  <c r="E56" i="4" a="1"/>
  <c r="E48" i="4" a="1"/>
  <c r="E41" i="4" a="1"/>
  <c r="F58" i="4" a="1"/>
  <c r="F60" i="4" a="1"/>
  <c r="F44" i="4" a="1"/>
  <c r="E78" i="4" a="1"/>
  <c r="F52" i="4" a="1"/>
  <c r="E46" i="4" a="1"/>
  <c r="E97" i="4" a="1"/>
  <c r="F82" i="4" a="1"/>
  <c r="F49" i="4" a="1"/>
  <c r="E21" i="4" a="1"/>
  <c r="F97" i="4" a="1"/>
  <c r="F53" i="4" a="1"/>
  <c r="F64" i="4" a="1"/>
  <c r="E58" i="4" a="1"/>
  <c r="F104" i="4" a="1"/>
  <c r="F94" i="4" a="1"/>
  <c r="F16" i="4" a="1"/>
  <c r="E74" i="4" a="1"/>
  <c r="F11" i="4" a="1"/>
  <c r="F31" i="4" a="1"/>
  <c r="E32" i="4" a="1"/>
  <c r="E17" i="4" a="1"/>
  <c r="E36" i="4" a="1"/>
  <c r="E10" i="4" a="1"/>
  <c r="E80" i="4" a="1"/>
  <c r="E12" i="4" a="1"/>
  <c r="F6" i="4" a="1"/>
  <c r="E16" i="4" a="1"/>
  <c r="E61" i="4" a="1"/>
  <c r="F14" i="4" a="1"/>
  <c r="E49" i="4" a="1"/>
  <c r="F10" i="4" a="1"/>
  <c r="E92" i="4" a="1"/>
  <c r="E6" i="4" a="1"/>
  <c r="F88" i="4" a="1"/>
  <c r="E38" i="4" a="1"/>
  <c r="F19" i="4" a="1"/>
  <c r="E45" i="4" a="1"/>
  <c r="E69" i="4" a="1"/>
  <c r="E94" i="4" a="1"/>
  <c r="E68" i="4" a="1"/>
  <c r="E54" i="4" a="1"/>
  <c r="E79" i="4" a="1"/>
  <c r="E51" i="4" a="1"/>
  <c r="F27" i="4" a="1"/>
  <c r="E15" i="4" a="1"/>
  <c r="F34" i="4" a="1"/>
  <c r="E81" i="4" a="1"/>
  <c r="E63" i="4" a="1"/>
  <c r="F41" i="4" a="1"/>
  <c r="E72" i="4" a="1"/>
  <c r="E85" i="4" a="1"/>
  <c r="E26" i="4" a="1"/>
  <c r="F40" i="4" a="1"/>
  <c r="E13" i="4" a="1"/>
  <c r="E28" i="4" a="1"/>
  <c r="F3" i="4" a="1"/>
  <c r="F69" i="4" a="1"/>
  <c r="F15" i="4" a="1"/>
  <c r="E18" i="4" a="1"/>
  <c r="E65" i="4" a="1"/>
  <c r="F54" i="4" a="1"/>
  <c r="E31" i="4" a="1"/>
  <c r="F5" i="4" a="1"/>
  <c r="E53" i="4" a="1"/>
  <c r="F84" i="4" a="1"/>
  <c r="E59" i="4" a="1"/>
  <c r="E55" i="4" a="1"/>
  <c r="E66" i="4" a="1"/>
  <c r="E2" i="4" a="1"/>
  <c r="F36" i="4" a="1"/>
  <c r="F20" i="4" a="1"/>
  <c r="F73" i="4" a="1"/>
  <c r="E47" i="4" a="1"/>
  <c r="F75" i="4" a="1"/>
  <c r="F66" i="4" a="1"/>
  <c r="E27" i="4" a="1"/>
  <c r="E39" i="4" a="1"/>
  <c r="E25" i="4" a="1"/>
  <c r="E37" i="4" a="1"/>
  <c r="E86" i="4" a="1"/>
  <c r="E67" i="4" a="1"/>
  <c r="F87" i="4" a="1"/>
  <c r="F7" i="4" a="1"/>
  <c r="F17" i="4" a="1"/>
  <c r="E44" i="4" a="1"/>
  <c r="F76" i="4" a="1"/>
  <c r="F43" i="4" a="1"/>
  <c r="E29" i="4" a="1"/>
  <c r="F37" i="4" a="1"/>
  <c r="F32" i="4" a="1"/>
  <c r="F91" i="4" a="1"/>
  <c r="F30" i="4" a="1"/>
  <c r="F68" i="4" a="1"/>
  <c r="E77" i="4" a="1"/>
  <c r="F80" i="4" a="1"/>
  <c r="F29" i="4" a="1"/>
  <c r="E9" i="4" a="1"/>
  <c r="E19" i="4" a="1"/>
  <c r="F93" i="4" a="1"/>
  <c r="E70" i="4" a="1"/>
  <c r="F23" i="4" a="1"/>
  <c r="F12" i="4" a="1"/>
  <c r="E60" i="4" a="1"/>
  <c r="F90" i="4" a="1"/>
  <c r="E93" i="4" a="1"/>
  <c r="E76" i="4" a="1"/>
  <c r="F21" i="4" a="1"/>
  <c r="F4" i="4" a="1"/>
  <c r="F81" i="4" a="1"/>
  <c r="F79" i="4" a="1"/>
  <c r="E95" i="4" a="1"/>
  <c r="F89" i="4" a="1"/>
  <c r="F96" i="4" a="1"/>
  <c r="E4" i="4" a="1"/>
  <c r="F51" i="4" a="1"/>
  <c r="F72" i="4" a="1"/>
  <c r="F63" i="4" a="1"/>
  <c r="F67" i="4" a="1"/>
  <c r="E7" i="4" a="1"/>
  <c r="F56" i="4" a="1"/>
  <c r="F13" i="4" a="1"/>
  <c r="E14" i="4" a="1"/>
  <c r="F33" i="4" a="1"/>
  <c r="E87" i="4" a="1"/>
  <c r="E8" i="4" a="1"/>
  <c r="E83" i="4" a="1"/>
  <c r="E82" i="4" a="1"/>
  <c r="F62" i="4" a="1"/>
  <c r="F38" i="4" a="1"/>
  <c r="F46" i="4" a="1"/>
  <c r="E22" i="4" a="1"/>
  <c r="E3" i="4" a="1"/>
  <c r="F24" i="4" a="1"/>
  <c r="F18" i="4" a="1"/>
  <c r="E57" i="4" a="1"/>
  <c r="F57" i="4" a="1"/>
  <c r="F85" i="4" a="1"/>
  <c r="F86" i="4" a="1"/>
  <c r="F77" i="4" a="1"/>
  <c r="F39" i="4" a="1"/>
  <c r="F50" i="4" a="1"/>
  <c r="F25" i="4" a="1"/>
  <c r="E62" i="4" a="1"/>
  <c r="F22" i="4" a="1"/>
  <c r="F70" i="4" a="1"/>
  <c r="F92" i="4" a="1"/>
  <c r="E23" i="4" a="1"/>
  <c r="F61" i="4" a="1"/>
  <c r="F8" i="4" a="1"/>
  <c r="E35" i="4" a="1"/>
  <c r="E43" i="4" a="1"/>
  <c r="F78" i="4" a="1"/>
  <c r="F45" i="4" a="1"/>
  <c r="E50" i="4" a="1"/>
  <c r="F65" i="4" a="1"/>
  <c r="F59" i="4" a="1"/>
  <c r="E88" i="4" a="1"/>
  <c r="E104" i="4" a="1"/>
  <c r="F71" i="4" a="1"/>
  <c r="F55" i="4" a="1"/>
  <c r="E30" i="4" a="1"/>
  <c r="E40" i="4" a="1"/>
  <c r="F83" i="4" a="1"/>
  <c r="E24" i="4" a="1"/>
  <c r="E42" i="4" a="1"/>
  <c r="E75" i="4" a="1"/>
  <c r="F74" i="4" a="1"/>
  <c r="E20" i="4" a="1"/>
  <c r="F47" i="4" a="1"/>
  <c r="F48" i="4" a="1"/>
  <c r="E84" i="4" a="1"/>
  <c r="F28" i="4" a="1"/>
  <c r="F26" i="4" a="1"/>
  <c r="E89" i="4" a="1"/>
  <c r="F95" i="4" a="1"/>
  <c r="F2" i="4" a="1"/>
  <c r="E73" i="4" a="1"/>
  <c r="E71" i="4" a="1"/>
  <c r="E104" i="4" l="1"/>
  <c r="F104" i="4"/>
  <c r="F2" i="4"/>
  <c r="E27" i="4"/>
  <c r="F80" i="4"/>
  <c r="F3" i="4"/>
  <c r="F75" i="4"/>
  <c r="F12" i="4"/>
  <c r="F50" i="4"/>
  <c r="F37" i="4"/>
  <c r="F22" i="4"/>
  <c r="F23" i="4"/>
  <c r="F90" i="4"/>
  <c r="F9" i="4"/>
  <c r="F81" i="4"/>
  <c r="F30" i="4"/>
  <c r="F68" i="4"/>
  <c r="F49" i="4"/>
  <c r="F28" i="4"/>
  <c r="F35" i="4"/>
  <c r="F13" i="4"/>
  <c r="F15" i="4"/>
  <c r="F87" i="4"/>
  <c r="F42" i="4"/>
  <c r="F61" i="4"/>
  <c r="F34" i="4"/>
  <c r="F47" i="4"/>
  <c r="F55" i="4"/>
  <c r="F21" i="4"/>
  <c r="F93" i="4"/>
  <c r="F60" i="4"/>
  <c r="F58" i="4"/>
  <c r="F79" i="4"/>
  <c r="F40" i="4"/>
  <c r="F59" i="4"/>
  <c r="F73" i="4"/>
  <c r="F27" i="4"/>
  <c r="F82" i="4"/>
  <c r="F66" i="4"/>
  <c r="F17" i="4"/>
  <c r="F97" i="4"/>
  <c r="F46" i="4"/>
  <c r="F71" i="4"/>
  <c r="F91" i="4"/>
  <c r="F33" i="4"/>
  <c r="F5" i="4"/>
  <c r="F84" i="4"/>
  <c r="F18" i="4"/>
  <c r="F14" i="4"/>
  <c r="F52" i="4"/>
  <c r="F83" i="4"/>
  <c r="F20" i="4"/>
  <c r="F39" i="4"/>
  <c r="F29" i="4"/>
  <c r="F19" i="4"/>
  <c r="F48" i="4"/>
  <c r="F38" i="4"/>
  <c r="F64" i="4"/>
  <c r="F95" i="4"/>
  <c r="F26" i="4"/>
  <c r="F45" i="4"/>
  <c r="F41" i="4"/>
  <c r="F43" i="4"/>
  <c r="F78" i="4"/>
  <c r="F62" i="4"/>
  <c r="F70" i="4"/>
  <c r="F6" i="4"/>
  <c r="F44" i="4"/>
  <c r="F51" i="4"/>
  <c r="F53" i="4"/>
  <c r="F67" i="4"/>
  <c r="F96" i="4"/>
  <c r="F86" i="4"/>
  <c r="F76" i="4"/>
  <c r="F24" i="4"/>
  <c r="F56" i="4"/>
  <c r="F57" i="4"/>
  <c r="F65" i="4"/>
  <c r="F85" i="4"/>
  <c r="F7" i="4"/>
  <c r="F4" i="4"/>
  <c r="F88" i="4"/>
  <c r="F36" i="4"/>
  <c r="F74" i="4"/>
  <c r="F63" i="4"/>
  <c r="F77" i="4"/>
  <c r="F8" i="4"/>
  <c r="F25" i="4"/>
  <c r="F10" i="4"/>
  <c r="F94" i="4"/>
  <c r="F54" i="4"/>
  <c r="F92" i="4"/>
  <c r="F69" i="4"/>
  <c r="F89" i="4"/>
  <c r="F32" i="4"/>
  <c r="F31" i="4"/>
  <c r="F16" i="4"/>
  <c r="F11" i="4"/>
  <c r="F72" i="4"/>
  <c r="E75" i="4"/>
  <c r="E3" i="4"/>
  <c r="E50" i="4"/>
  <c r="E90" i="4"/>
  <c r="E81" i="4"/>
  <c r="E30" i="4"/>
  <c r="E35" i="4"/>
  <c r="E42" i="4"/>
  <c r="E21" i="4"/>
  <c r="E93" i="4"/>
  <c r="E46" i="4"/>
  <c r="E37" i="4"/>
  <c r="E23" i="4"/>
  <c r="E9" i="4"/>
  <c r="E68" i="4"/>
  <c r="E28" i="4"/>
  <c r="E13" i="4"/>
  <c r="E15" i="4"/>
  <c r="E87" i="4"/>
  <c r="E61" i="4"/>
  <c r="E47" i="4"/>
  <c r="E60" i="4"/>
  <c r="E79" i="4"/>
  <c r="E40" i="4"/>
  <c r="E73" i="4"/>
  <c r="E82" i="4"/>
  <c r="E17" i="4"/>
  <c r="E97" i="4"/>
  <c r="E71" i="4"/>
  <c r="E33" i="4"/>
  <c r="E5" i="4"/>
  <c r="E84" i="4"/>
  <c r="E18" i="4"/>
  <c r="E52" i="4"/>
  <c r="E83" i="4"/>
  <c r="E20" i="4"/>
  <c r="E39" i="4"/>
  <c r="E29" i="4"/>
  <c r="E19" i="4"/>
  <c r="E48" i="4"/>
  <c r="E38" i="4"/>
  <c r="E64" i="4"/>
  <c r="E95" i="4"/>
  <c r="E26" i="4"/>
  <c r="E41" i="4"/>
  <c r="E43" i="4"/>
  <c r="E62" i="4"/>
  <c r="E70" i="4"/>
  <c r="E44" i="4"/>
  <c r="E51" i="4"/>
  <c r="E53" i="4"/>
  <c r="E86" i="4"/>
  <c r="E56" i="4"/>
  <c r="E65" i="4"/>
  <c r="E4" i="4"/>
  <c r="E36" i="4"/>
  <c r="E12" i="4"/>
  <c r="E22" i="4"/>
  <c r="E49" i="4"/>
  <c r="E80" i="4"/>
  <c r="E34" i="4"/>
  <c r="E55" i="4"/>
  <c r="E58" i="4"/>
  <c r="E59" i="4"/>
  <c r="E66" i="4"/>
  <c r="E91" i="4"/>
  <c r="E14" i="4"/>
  <c r="E45" i="4"/>
  <c r="E78" i="4"/>
  <c r="E6" i="4"/>
  <c r="E67" i="4"/>
  <c r="E96" i="4"/>
  <c r="E76" i="4"/>
  <c r="E24" i="4"/>
  <c r="E57" i="4"/>
  <c r="E85" i="4"/>
  <c r="E7" i="4"/>
  <c r="E88" i="4"/>
  <c r="E74" i="4"/>
  <c r="E63" i="4"/>
  <c r="E77" i="4"/>
  <c r="E8" i="4"/>
  <c r="E25" i="4"/>
  <c r="E10" i="4"/>
  <c r="E94" i="4"/>
  <c r="E54" i="4"/>
  <c r="E92" i="4"/>
  <c r="E69" i="4"/>
  <c r="E89" i="4"/>
  <c r="E32" i="4"/>
  <c r="E31" i="4"/>
  <c r="E16" i="4"/>
  <c r="E11" i="4"/>
  <c r="E72" i="4"/>
  <c r="E2" i="4"/>
  <c r="L101" i="1"/>
  <c r="N101" i="1" s="1"/>
  <c r="L100" i="1"/>
  <c r="N100" i="1" s="1"/>
  <c r="L99" i="1"/>
  <c r="N99" i="1" s="1"/>
  <c r="L98" i="1" l="1"/>
  <c r="N98" i="1" s="1"/>
  <c r="L97" i="1" l="1"/>
  <c r="N97" i="1" s="1"/>
  <c r="L96" i="1" l="1"/>
  <c r="N96" i="1" s="1"/>
  <c r="L95" i="1" l="1"/>
  <c r="N95" i="1" s="1"/>
  <c r="L31" i="1"/>
  <c r="N31" i="1" s="1"/>
  <c r="L94" i="1" l="1"/>
  <c r="N94" i="1" s="1"/>
  <c r="L88" i="1" l="1"/>
  <c r="N88" i="1" s="1"/>
  <c r="L89" i="1"/>
  <c r="N89" i="1" s="1"/>
  <c r="L90" i="1"/>
  <c r="N90" i="1" s="1"/>
  <c r="L91" i="1"/>
  <c r="N91" i="1" s="1"/>
  <c r="L92" i="1"/>
  <c r="N92" i="1" s="1"/>
  <c r="L93" i="1"/>
  <c r="N93" i="1" s="1"/>
  <c r="L116" i="1"/>
  <c r="N116" i="1" s="1"/>
  <c r="L87" i="1"/>
  <c r="N87" i="1" s="1"/>
  <c r="L86" i="1" l="1"/>
  <c r="N86" i="1" s="1"/>
  <c r="L85" i="1" l="1"/>
  <c r="N85" i="1" s="1"/>
  <c r="L84" i="1" l="1"/>
  <c r="N84" i="1" s="1"/>
  <c r="L59" i="1"/>
  <c r="N59" i="1" s="1"/>
  <c r="L82" i="1"/>
  <c r="N82" i="1" s="1"/>
  <c r="L81" i="1"/>
  <c r="N81" i="1" s="1"/>
  <c r="L78" i="1" l="1"/>
  <c r="N78" i="1" s="1"/>
  <c r="L79" i="1"/>
  <c r="N79" i="1" s="1"/>
  <c r="L80" i="1"/>
  <c r="N80" i="1" s="1"/>
  <c r="L77" i="1" l="1"/>
  <c r="N77" i="1" s="1"/>
  <c r="L83" i="1" l="1"/>
  <c r="N83" i="1" s="1"/>
  <c r="L75" i="1"/>
  <c r="N75" i="1" s="1"/>
  <c r="L74" i="1" l="1"/>
  <c r="N74" i="1" s="1"/>
  <c r="L73" i="1" l="1"/>
  <c r="N73" i="1" s="1"/>
  <c r="L72" i="1" l="1"/>
  <c r="N72" i="1" s="1"/>
  <c r="L68" i="1"/>
  <c r="N68" i="1" s="1"/>
  <c r="L70" i="1" l="1"/>
  <c r="N70" i="1" s="1"/>
  <c r="L69" i="1" l="1"/>
  <c r="N69" i="1" s="1"/>
  <c r="L71" i="1"/>
  <c r="N71" i="1" s="1"/>
  <c r="L47" i="1"/>
  <c r="N47" i="1" s="1"/>
  <c r="L66" i="1"/>
  <c r="N66" i="1" s="1"/>
  <c r="L65" i="1"/>
  <c r="N65" i="1" s="1"/>
  <c r="L64" i="1" l="1"/>
  <c r="N64" i="1" s="1"/>
  <c r="L63" i="1" l="1"/>
  <c r="N63" i="1" s="1"/>
  <c r="L62" i="1"/>
  <c r="N62" i="1" s="1"/>
  <c r="L46" i="1" l="1"/>
  <c r="N46" i="1" s="1"/>
  <c r="L60" i="1" l="1"/>
  <c r="N60" i="1" s="1"/>
  <c r="L54" i="1" l="1"/>
  <c r="N54" i="1" s="1"/>
  <c r="L76" i="1" l="1"/>
  <c r="N76" i="1" s="1"/>
  <c r="L55" i="1"/>
  <c r="N55" i="1" s="1"/>
  <c r="L57" i="1" l="1"/>
  <c r="N57" i="1" s="1"/>
  <c r="L58" i="1" l="1"/>
  <c r="N58" i="1" s="1"/>
  <c r="L51" i="1" l="1"/>
  <c r="N51" i="1" s="1"/>
  <c r="L53" i="1"/>
  <c r="N53" i="1" s="1"/>
  <c r="L52" i="1" l="1"/>
  <c r="N52" i="1" s="1"/>
  <c r="L50" i="1" l="1"/>
  <c r="N50" i="1" s="1"/>
  <c r="L38" i="1" l="1"/>
  <c r="N38" i="1" s="1"/>
  <c r="L48" i="1" l="1"/>
  <c r="N48" i="1" s="1"/>
  <c r="L49" i="1"/>
  <c r="N49" i="1" s="1"/>
  <c r="L44" i="1" l="1"/>
  <c r="N44" i="1" s="1"/>
  <c r="L43" i="1"/>
  <c r="N43" i="1" s="1"/>
  <c r="K120" i="1" l="1"/>
  <c r="L41" i="1" l="1"/>
  <c r="N41" i="1" s="1"/>
  <c r="L42" i="1"/>
  <c r="N42" i="1" s="1"/>
  <c r="L37" i="1"/>
  <c r="N37" i="1" s="1"/>
  <c r="H19" i="2" l="1"/>
  <c r="C19" i="2"/>
  <c r="D19" i="2"/>
  <c r="E19" i="2"/>
  <c r="F19" i="2"/>
  <c r="G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B19" i="2"/>
  <c r="V19" i="2" l="1"/>
  <c r="L40" i="1"/>
  <c r="N40" i="1" s="1"/>
  <c r="L39" i="1" l="1"/>
  <c r="N39" i="1" s="1"/>
  <c r="L29" i="1" l="1"/>
  <c r="N29" i="1" s="1"/>
  <c r="L32" i="1"/>
  <c r="N32" i="1" s="1"/>
  <c r="L28" i="1"/>
  <c r="N28" i="1" s="1"/>
  <c r="L35" i="1" l="1"/>
  <c r="N35" i="1" s="1"/>
  <c r="L34" i="1" l="1"/>
  <c r="N34" i="1" s="1"/>
  <c r="L23" i="1" l="1"/>
  <c r="N23" i="1" s="1"/>
  <c r="L22" i="1"/>
  <c r="N22" i="1" s="1"/>
  <c r="L25" i="1"/>
  <c r="N25" i="1" s="1"/>
  <c r="L21" i="1"/>
  <c r="N21" i="1" s="1"/>
  <c r="L24" i="1"/>
  <c r="N24" i="1" s="1"/>
  <c r="L26" i="1"/>
  <c r="N26" i="1" s="1"/>
  <c r="L45" i="1"/>
  <c r="N45" i="1" s="1"/>
  <c r="L30" i="1"/>
  <c r="N30" i="1" s="1"/>
  <c r="L27" i="1"/>
  <c r="N27" i="1" s="1"/>
  <c r="L33" i="1"/>
  <c r="N33" i="1" s="1"/>
  <c r="L36" i="1"/>
  <c r="N36" i="1" s="1"/>
  <c r="T118" i="1" l="1"/>
  <c r="K118" i="1"/>
  <c r="L3" i="1"/>
  <c r="N3" i="1" s="1"/>
  <c r="L10" i="1"/>
  <c r="N10" i="1" s="1"/>
  <c r="L16" i="1"/>
  <c r="N16" i="1" s="1"/>
  <c r="L5" i="1"/>
  <c r="N5" i="1" s="1"/>
  <c r="L7" i="1"/>
  <c r="N7" i="1" s="1"/>
  <c r="L8" i="1"/>
  <c r="N8" i="1" s="1"/>
  <c r="L4" i="1"/>
  <c r="N4" i="1" s="1"/>
  <c r="L20" i="1"/>
  <c r="N20" i="1" s="1"/>
  <c r="L9" i="1"/>
  <c r="N9" i="1" s="1"/>
  <c r="L12" i="1"/>
  <c r="N12" i="1" s="1"/>
  <c r="L13" i="1"/>
  <c r="N13" i="1" s="1"/>
  <c r="L6" i="1"/>
  <c r="N6" i="1" s="1"/>
  <c r="L15" i="1"/>
  <c r="N15" i="1" s="1"/>
  <c r="L11" i="1"/>
  <c r="N11" i="1" s="1"/>
  <c r="L14" i="1"/>
  <c r="N14" i="1" s="1"/>
  <c r="L19" i="1"/>
  <c r="N19" i="1" s="1"/>
  <c r="L17" i="1"/>
  <c r="N17" i="1" s="1"/>
  <c r="L18" i="1"/>
  <c r="N18" i="1" s="1"/>
  <c r="L61" i="1"/>
  <c r="N61" i="1" s="1"/>
  <c r="L67" i="1"/>
  <c r="N67" i="1" s="1"/>
  <c r="L2" i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tc={6A625D76-3838-4D50-A993-69B904BD50B5}</author>
    <author>user</author>
  </authors>
  <commentList>
    <comment ref="T4" authorId="0" shapeId="0" xr:uid="{6A625D76-3838-4D50-A993-69B904BD50B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caja aparece una transacción de CARLOS GERARDO por 2,260,000</t>
      </text>
    </comment>
    <comment ref="D40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Contrato para embargo</t>
        </r>
      </text>
    </comment>
    <comment ref="U45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ABONOS:
10-ABR-23
10-MAY-23</t>
        </r>
      </text>
    </comment>
    <comment ref="A48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CODEUDORA JOHAN SEBASTIÁN TORRES CUERVO
</t>
        </r>
      </text>
    </comment>
    <comment ref="A66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CODEUDORA CLAUDIA PATRICIA LADINO GARZÓN</t>
        </r>
      </text>
    </comment>
    <comment ref="A71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CODEUDOR: BLANCA ELVIRA HERRERA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050249-9078-4AE9-B151-48970AC37338}" keepAlive="1" name="Consulta - Abril" description="Conexión a la consulta 'Abril' en el libro." type="5" refreshedVersion="0" background="1">
    <dbPr connection="Provider=Microsoft.Mashup.OleDb.1;Data Source=$Workbook$;Location=Abril;Extended Properties=&quot;&quot;" command="SELECT * FROM [Abril]"/>
  </connection>
  <connection id="2" xr16:uid="{FC70DF7E-CFBC-4C70-B7C9-384DA9C9F20B}" keepAlive="1" name="Consulta - Agosto" description="Conexión a la consulta 'Agosto' en el libro." type="5" refreshedVersion="0" background="1">
    <dbPr connection="Provider=Microsoft.Mashup.OleDb.1;Data Source=$Workbook$;Location=Agosto;Extended Properties=&quot;&quot;" command="SELECT * FROM [Agosto]"/>
  </connection>
  <connection id="3" xr16:uid="{FB716FA7-A730-40DB-A2FE-CAC8AF748637}" keepAlive="1" name="Consulta - CajaTotal" description="Conexión a la consulta 'CajaTotal' en el libro." type="5" refreshedVersion="8" background="1" saveData="1">
    <dbPr connection="Provider=Microsoft.Mashup.OleDb.1;Data Source=$Workbook$;Location=CajaTotal;Extended Properties=&quot;&quot;" command="SELECT * FROM [CajaTotal]"/>
  </connection>
  <connection id="4" xr16:uid="{2260A66C-52DA-4D9F-81EE-9AF0CD3D3EAA}" keepAlive="1" name="Consulta - Clientes" description="Conexión a la consulta 'Clientes' en el libro." type="5" refreshedVersion="0" background="1">
    <dbPr connection="Provider=Microsoft.Mashup.OleDb.1;Data Source=$Workbook$;Location=Clientes;Extended Properties=&quot;&quot;" command="SELECT * FROM [Clientes]"/>
  </connection>
  <connection id="5" xr16:uid="{BD6DFBC6-50EA-4C33-90F2-D2E4494A782A}" keepAlive="1" name="Consulta - Contratos" description="Conexión a la consulta 'Contratos' en el libro." type="5" refreshedVersion="8" background="1" saveData="1">
    <dbPr connection="Provider=Microsoft.Mashup.OleDb.1;Data Source=$Workbook$;Location=Contratos;Extended Properties=&quot;&quot;" command="SELECT * FROM [Contratos]"/>
  </connection>
  <connection id="6" xr16:uid="{44B16192-56BB-4792-8518-B353E0E4657F}" keepAlive="1" name="Consulta - Enero" description="Conexión a la consulta 'Enero' en el libro." type="5" refreshedVersion="0" background="1">
    <dbPr connection="Provider=Microsoft.Mashup.OleDb.1;Data Source=$Workbook$;Location=Enero;Extended Properties=&quot;&quot;" command="SELECT * FROM [Enero]"/>
  </connection>
  <connection id="7" xr16:uid="{A29AF8D1-627D-4106-8D65-295521750DC5}" keepAlive="1" name="Consulta - Febrero" description="Conexión a la consulta 'Febrero' en el libro." type="5" refreshedVersion="0" background="1">
    <dbPr connection="Provider=Microsoft.Mashup.OleDb.1;Data Source=$Workbook$;Location=Febrero;Extended Properties=&quot;&quot;" command="SELECT * FROM [Febrero]"/>
  </connection>
  <connection id="8" xr16:uid="{0365B63A-5624-4580-A1D0-077696552000}" keepAlive="1" name="Consulta - Julio" description="Conexión a la consulta 'Julio' en el libro." type="5" refreshedVersion="0" background="1">
    <dbPr connection="Provider=Microsoft.Mashup.OleDb.1;Data Source=$Workbook$;Location=Julio;Extended Properties=&quot;&quot;" command="SELECT * FROM [Julio]"/>
  </connection>
  <connection id="9" xr16:uid="{55B26736-FA6F-4BEB-9641-CCAB50DF62A5}" keepAlive="1" name="Consulta - Junio" description="Conexión a la consulta 'Junio' en el libro." type="5" refreshedVersion="0" background="1">
    <dbPr connection="Provider=Microsoft.Mashup.OleDb.1;Data Source=$Workbook$;Location=Junio;Extended Properties=&quot;&quot;" command="SELECT * FROM [Junio]"/>
  </connection>
  <connection id="10" xr16:uid="{FEFD9591-8851-4FD8-900E-7E6CA9BC071A}" keepAlive="1" name="Consulta - Marzo" description="Conexión a la consulta 'Marzo' en el libro." type="5" refreshedVersion="0" background="1">
    <dbPr connection="Provider=Microsoft.Mashup.OleDb.1;Data Source=$Workbook$;Location=Marzo;Extended Properties=&quot;&quot;" command="SELECT * FROM [Marzo]"/>
  </connection>
  <connection id="11" xr16:uid="{1D2BC34A-0395-4B7A-9A69-A3A25A35B641}" keepAlive="1" name="Consulta - Mayo" description="Conexión a la consulta 'Mayo' en el libro." type="5" refreshedVersion="0" background="1">
    <dbPr connection="Provider=Microsoft.Mashup.OleDb.1;Data Source=$Workbook$;Location=Mayo;Extended Properties=&quot;&quot;" command="SELECT * FROM [Mayo]"/>
  </connection>
  <connection id="12" xr16:uid="{891F2CEE-95C0-44AC-8D8A-49C044C592CB}" keepAlive="1" name="Consulta - Visual para Combinacion" description="Conexión a la consulta 'Visual para Combinacion' en el libro." type="5" refreshedVersion="8" background="1" saveData="1">
    <dbPr connection="Provider=Microsoft.Mashup.OleDb.1;Data Source=$Workbook$;Location=&quot;Visual para Combinacion&quot;;Extended Properties=&quot;&quot;" command="SELECT * FROM [Visual para Combinac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<sst xmlns="http://schemas.openxmlformats.org/spreadsheetml/2006/main" count="3934" uniqueCount="1131">
  <si>
    <t>DARÍO MANZANO VALENCIA</t>
  </si>
  <si>
    <t>Finca La Una, Altagracia - Pereira</t>
  </si>
  <si>
    <t>FLOWER ANTONIO HURTADO ECHEVERRI</t>
  </si>
  <si>
    <t>B/El Modelo Cra. 19 # 19A- 49 - Dosquebradas</t>
  </si>
  <si>
    <t>PAGO TOTAL</t>
  </si>
  <si>
    <t>MAURICIO MORALES VALENCIA</t>
  </si>
  <si>
    <t>Carrera 21 Bis # 6-80 B/El Japón - Dosquebradas</t>
  </si>
  <si>
    <t>ÓSCAR FERNANDO CASTAÑEDA CARDONA</t>
  </si>
  <si>
    <t>Calle 13 # 16-23 B/La Isabelita - Zarzal</t>
  </si>
  <si>
    <t>SILVIO MARTÍNEZ CARDONA</t>
  </si>
  <si>
    <t>422A</t>
  </si>
  <si>
    <t>Calle 8 # 5-53 B/Santa Cecilia - La Paila</t>
  </si>
  <si>
    <t>3145459102 - 3113820977</t>
  </si>
  <si>
    <t>CARLOS TULIO AMARILES RUIZ</t>
  </si>
  <si>
    <t>Calle 20 # 44-51 B/Frailes - Dosquebradas</t>
  </si>
  <si>
    <t>LUZ EDDY GARCÍA GUTIÉRREZ</t>
  </si>
  <si>
    <t>B/El Paraiso Mz. A Casa 200 - Armenia</t>
  </si>
  <si>
    <t>PAgo total</t>
  </si>
  <si>
    <t>CARLOS GERARDO GARCÍA JIMÉNEZ</t>
  </si>
  <si>
    <t>Carrera 36 # 84B-30 Savannah aptos. Torre 2 apt. 609 - Pereira</t>
  </si>
  <si>
    <t>pago total</t>
  </si>
  <si>
    <t>ALONSO RINCÓN LÓPEZ</t>
  </si>
  <si>
    <t>Calle 24 # 11-23Bis - Pereira</t>
  </si>
  <si>
    <t>HÉCTOR DARÍO DUQUE CIFUENTES</t>
  </si>
  <si>
    <t>Calle 9 2W-40 La Badea - Dosquebradas</t>
  </si>
  <si>
    <t>DORA ELSY ROMERO OTÁLVARO</t>
  </si>
  <si>
    <t>Carrera 20 # 3A - 51 B/Pinares Campestre Apt. 3102 - Pereira</t>
  </si>
  <si>
    <t>JULIO CÉSAR RESTREPO VALENCIA</t>
  </si>
  <si>
    <t>Conj. Colina Verde Casa 3 Vda. Sabanitas Baja - Dosquebradas</t>
  </si>
  <si>
    <t>LUIS ÁNGEL MONTES VALLEJO</t>
  </si>
  <si>
    <t>429A</t>
  </si>
  <si>
    <t>B/Bosque de la Acuarela IV Mz. 9 Casa 51 - Dosquebradas</t>
  </si>
  <si>
    <t>JOSÉ RUBÉN GARCÍA OSPINA</t>
  </si>
  <si>
    <t>Carrera 3 A # 7-41 B/Panorama - Chinchiná</t>
  </si>
  <si>
    <t>JAIME RAMÍREZ OSPINA</t>
  </si>
  <si>
    <t>Pago Total</t>
  </si>
  <si>
    <t>HERNÁN CARVAJAL PÉREZ</t>
  </si>
  <si>
    <t>Manzana 2 Casa 1 Piso 2 - B/Portal del Campo (Galicia) - Pereira</t>
  </si>
  <si>
    <t>JORGE ENRIQUE PATIÑO ARENAS</t>
  </si>
  <si>
    <t>Manzana 18 Casa 16 B/El Dorado - Pereira</t>
  </si>
  <si>
    <t>ALBA LUZ PRIETO DE DAZA</t>
  </si>
  <si>
    <t>Carrera 23 A # 12-31 Piso 1 B/Álamos - Armenia</t>
  </si>
  <si>
    <t>FRANCISCO ANTONIO GONZÁLEZ PALACIOS</t>
  </si>
  <si>
    <t>Carrera 13 # 13-07A B/Balvanera - Zarzal</t>
  </si>
  <si>
    <t>MARISOL SALINAS SERNA</t>
  </si>
  <si>
    <t>Corregimiento Alta Gracia Finca La Una - Pereira</t>
  </si>
  <si>
    <t>CLIENTE</t>
  </si>
  <si>
    <t>IDENTIFICACIÓN</t>
  </si>
  <si>
    <t>No. CONTRATO</t>
  </si>
  <si>
    <t>DIRECCIÓN</t>
  </si>
  <si>
    <t>TELÉFONO</t>
  </si>
  <si>
    <t>E-MAIL</t>
  </si>
  <si>
    <t>MONTO</t>
  </si>
  <si>
    <t>TASA</t>
  </si>
  <si>
    <t>FECHA DESEMBOLSO</t>
  </si>
  <si>
    <t>LÍNEA DE CRÉDITO</t>
  </si>
  <si>
    <t>PAGO</t>
  </si>
  <si>
    <t>FECHA DE PAGO</t>
  </si>
  <si>
    <t>DETALLE DE PAGO</t>
  </si>
  <si>
    <t>FECHA DE FINALIZACIÓN OBLIGACIÓN</t>
  </si>
  <si>
    <t>INVERSIONISTA</t>
  </si>
  <si>
    <t>Vr. PROYECTADO</t>
  </si>
  <si>
    <t>HONORARIOS</t>
  </si>
  <si>
    <t>EXPEDICIÓN</t>
  </si>
  <si>
    <t>CIUDAD</t>
  </si>
  <si>
    <t>DEPARTAMENTO</t>
  </si>
  <si>
    <t>TERMINACIÓN</t>
  </si>
  <si>
    <t>BARRIO</t>
  </si>
  <si>
    <t>JUAN DE JESÚS OSORIO RUIZ</t>
  </si>
  <si>
    <t>PEREIRA</t>
  </si>
  <si>
    <t>Carrera 11 # 7A-E 18</t>
  </si>
  <si>
    <t>B/Kennedy</t>
  </si>
  <si>
    <t>Pereira</t>
  </si>
  <si>
    <t>Risaralda</t>
  </si>
  <si>
    <t>juandejesusosorio127@gmail.com</t>
  </si>
  <si>
    <t>Buenaventura</t>
  </si>
  <si>
    <t xml:space="preserve">Carrera 36 # 84B-30 </t>
  </si>
  <si>
    <t>Savannah Apartamentos Torre 2 Apt. 609, Variante Condina</t>
  </si>
  <si>
    <t>cagegar@gmail.com</t>
  </si>
  <si>
    <t>CARLOS ARTURO CARDONA OCAMPO</t>
  </si>
  <si>
    <t>Manizales</t>
  </si>
  <si>
    <t>Carrera 8 # 20-38</t>
  </si>
  <si>
    <t>Supía</t>
  </si>
  <si>
    <t>Caldas</t>
  </si>
  <si>
    <t>acarloscardona@gmail.com</t>
  </si>
  <si>
    <t>JORGE LEÓN NOREÑA MANRIQUE</t>
  </si>
  <si>
    <t>Salamina</t>
  </si>
  <si>
    <t xml:space="preserve">Av. Simón Bolívar # 21-47 </t>
  </si>
  <si>
    <t>B/Buenos Aires</t>
  </si>
  <si>
    <t>Dosquebradas</t>
  </si>
  <si>
    <t>XXXXXXX@gmail.com</t>
  </si>
  <si>
    <t>LUIS FERNANDO MORALES VÉLEZ</t>
  </si>
  <si>
    <t>Calle 23 # 19-01 Apartamento 301</t>
  </si>
  <si>
    <t>B/La Pradera</t>
  </si>
  <si>
    <t>puertaomarantonio@gmail.com</t>
  </si>
  <si>
    <t>JOSÉ FERNANDO LÓPEZ VINASCO</t>
  </si>
  <si>
    <t>Manzana 18 Casa 2</t>
  </si>
  <si>
    <t>B/Galán</t>
  </si>
  <si>
    <t>jflv536@gmail.com</t>
  </si>
  <si>
    <t>JOSÉ CARLOS BRITO BRITO</t>
  </si>
  <si>
    <t>Barrancas</t>
  </si>
  <si>
    <t>Carrera 5 # 16-62</t>
  </si>
  <si>
    <t>B/Pringamozal</t>
  </si>
  <si>
    <t>La Guajira</t>
  </si>
  <si>
    <t>carlvidal524@gmail.com</t>
  </si>
  <si>
    <t>FLAVIO FERNANDO ESPINOSA ARDILA</t>
  </si>
  <si>
    <t>Manzana 5 Casa 29</t>
  </si>
  <si>
    <t>B/Hacienda Cuba</t>
  </si>
  <si>
    <t>No se hizo el préstamo ya que el cliente no los necesitaba</t>
  </si>
  <si>
    <t>MERARDO GARCÍA RAMÍREZ</t>
  </si>
  <si>
    <t>San Vicente de Chucurí</t>
  </si>
  <si>
    <t>Calle 12 B # 4B-10</t>
  </si>
  <si>
    <t>B/Libertad</t>
  </si>
  <si>
    <t>JOSÉ EDIER SÁNCHEZ</t>
  </si>
  <si>
    <t>Armenia</t>
  </si>
  <si>
    <t>Calle 18 # 29-08</t>
  </si>
  <si>
    <t>B/San Luis</t>
  </si>
  <si>
    <t>VALOR EN LETRAS</t>
  </si>
  <si>
    <t>Quinientos dos mil ciento noventa</t>
  </si>
  <si>
    <t xml:space="preserve">Doscientos cuarenta y nueve mil doscientos diez </t>
  </si>
  <si>
    <t>Cuatrocientos sesenta y seis mil cincuenta</t>
  </si>
  <si>
    <t>Quinientos cincuenta y seis mil cuatrocientos</t>
  </si>
  <si>
    <t>Doscientos sesenta y siete mil doscientos ochenta</t>
  </si>
  <si>
    <t>Trescientos cuarenta y ocho mil quinientos noventa y cinco</t>
  </si>
  <si>
    <t>Doscientos ochenta y cinco mil trescientos cincuenta</t>
  </si>
  <si>
    <t>Trescientos setenta y cinco mil setencientos</t>
  </si>
  <si>
    <t xml:space="preserve">Trescientos treinta y nueve mil quinientos sesenta </t>
  </si>
  <si>
    <t>Doscientos treinta y un mil ciento cuarenta</t>
  </si>
  <si>
    <t>Trescientos veintiún mil cuatrocientos noventa</t>
  </si>
  <si>
    <t>Un millón noventa y ocho mil quinientos</t>
  </si>
  <si>
    <t>Seiscientos cuarenta y seis mil setecientos cincuenta</t>
  </si>
  <si>
    <t>Doscientos cincuenta y ocho mil doscientos cuarenta y cinco</t>
  </si>
  <si>
    <t>Trescientos cuarenta y nueve mil cuatrocientos noventa y nueve</t>
  </si>
  <si>
    <t>Doscientos treinta y ocho mil setecientos veintinueve</t>
  </si>
  <si>
    <t>VALOR FUTURO</t>
  </si>
  <si>
    <t xml:space="preserve">Tres millones ochocientos sesenta y tres mil </t>
  </si>
  <si>
    <t>Tres millones quinientos ochenta y cinco mil</t>
  </si>
  <si>
    <t>Cuatro millones doscientos ochenta mil</t>
  </si>
  <si>
    <t xml:space="preserve">Un millón novecientos diecisiete mil </t>
  </si>
  <si>
    <t>Dos millones cincuenta y seis mil</t>
  </si>
  <si>
    <t>Dos millones seiscientos ochenta y un mil quinientos</t>
  </si>
  <si>
    <t>Dos millones ciento noventa y cinco mil</t>
  </si>
  <si>
    <t>Dos millones ochocientos noventa mil</t>
  </si>
  <si>
    <t>Dos millones seiscientos doce mil</t>
  </si>
  <si>
    <t>Un millón setecientos setenta y ocho mil</t>
  </si>
  <si>
    <t>Dos millones cuatrocientos setenta y tres mil</t>
  </si>
  <si>
    <t>Ocho millones cuatrocientos cincuenta mil</t>
  </si>
  <si>
    <t xml:space="preserve">Cuatro millones novecientos setenta y cinco mil </t>
  </si>
  <si>
    <t>Un millón novecientos ochenta y seis mil quinientos</t>
  </si>
  <si>
    <t>Dos millones seiscientos ochenta y ocho mil cuatrocientos cincuenta</t>
  </si>
  <si>
    <t>Un millón ochocientos treinta y seis mil trescientos ochenta</t>
  </si>
  <si>
    <t>16 de enero de 2023</t>
  </si>
  <si>
    <t>18 de enero de 2023</t>
  </si>
  <si>
    <t>19 de enero de 2023</t>
  </si>
  <si>
    <t>20 de enero de 2023</t>
  </si>
  <si>
    <t>1 de febrero de 2023</t>
  </si>
  <si>
    <t>4 de febrero de 2023</t>
  </si>
  <si>
    <t>6 de febrero de 2023</t>
  </si>
  <si>
    <t>7 de febrero de 2023</t>
  </si>
  <si>
    <t>8 de febrero de 2023</t>
  </si>
  <si>
    <t>13 de febrero de 2023</t>
  </si>
  <si>
    <t>15 de febrero de 2023</t>
  </si>
  <si>
    <t>17 de febrero de 2023</t>
  </si>
  <si>
    <t>20 de febrero de 2023</t>
  </si>
  <si>
    <t>22 de febrero de 2023</t>
  </si>
  <si>
    <t>21 de mayo de 2023</t>
  </si>
  <si>
    <t>27 de febrero de 2023</t>
  </si>
  <si>
    <t>26 de mayo de 2023</t>
  </si>
  <si>
    <t>1 de marzo de 2023</t>
  </si>
  <si>
    <t>30 de junio de 2023</t>
  </si>
  <si>
    <t>3 de marzo de 2023</t>
  </si>
  <si>
    <t>2 de junio de 2023</t>
  </si>
  <si>
    <t>10 de marzo de 2023</t>
  </si>
  <si>
    <t>9 de junio de 2023</t>
  </si>
  <si>
    <t>11 de marzo de 2023</t>
  </si>
  <si>
    <t>10 de junio de 2023</t>
  </si>
  <si>
    <t>13 de marzo de 2023</t>
  </si>
  <si>
    <t>12 de marzo de 2023</t>
  </si>
  <si>
    <t>15 de marzo de 2023</t>
  </si>
  <si>
    <t>14 de junio de 2023</t>
  </si>
  <si>
    <t>15 de abril de 2023</t>
  </si>
  <si>
    <t>17 de abril de 2023</t>
  </si>
  <si>
    <t>18 de abril de 2023</t>
  </si>
  <si>
    <t>19 de abril de 2023</t>
  </si>
  <si>
    <t>30 de mayo de 2023</t>
  </si>
  <si>
    <t>3 de mayo de 2023</t>
  </si>
  <si>
    <t>5 de mayo de 2023</t>
  </si>
  <si>
    <t>6 de mayo de 2023</t>
  </si>
  <si>
    <t>7 de mayo de 2023</t>
  </si>
  <si>
    <t>12 de mayo de 2023</t>
  </si>
  <si>
    <t>14 de mayo de 2023</t>
  </si>
  <si>
    <t>16 de mayo de 2023</t>
  </si>
  <si>
    <t>19 de mayo de 2023</t>
  </si>
  <si>
    <t>JONATHAN ALEJANDRO OSORIO LINARES</t>
  </si>
  <si>
    <t>Manzana 9 Casa 12</t>
  </si>
  <si>
    <t>B/Gilberto Peláez</t>
  </si>
  <si>
    <t>merardo.garcia175@casur.gov.co</t>
  </si>
  <si>
    <t>jose.sanchez1602@casur.gov.co</t>
  </si>
  <si>
    <t>joalejo.linaso@gmail.com</t>
  </si>
  <si>
    <t xml:space="preserve">Tres millones ciento sesenta y ocho mil </t>
  </si>
  <si>
    <t>Cuatrocientos once mil ochocientos cuarenta</t>
  </si>
  <si>
    <t>16 de marzo de 2023</t>
  </si>
  <si>
    <t>15 de junio de 2023</t>
  </si>
  <si>
    <t>UVER MUSSE CHILO</t>
  </si>
  <si>
    <t>Belalcázar</t>
  </si>
  <si>
    <t>Manzana 16 Casa 21 Sector E</t>
  </si>
  <si>
    <t>B/Parque Industrial</t>
  </si>
  <si>
    <t>uvermusse40@gmail.com</t>
  </si>
  <si>
    <t>17 de marzo de 2023</t>
  </si>
  <si>
    <t>16 de junio de 2023</t>
  </si>
  <si>
    <t>Manzana 20 Casa 29</t>
  </si>
  <si>
    <t>B/Campestre A</t>
  </si>
  <si>
    <t>LUZ DARI DE LOS DOLORES ARENAS DE PATIÑO</t>
  </si>
  <si>
    <t>Valparaiso</t>
  </si>
  <si>
    <t>Manzana 2 Casa 5 Sector E</t>
  </si>
  <si>
    <t>arenasluzdary60@gmail.com</t>
  </si>
  <si>
    <t>REINALDO GIL GALLEGO</t>
  </si>
  <si>
    <t>Zarzal</t>
  </si>
  <si>
    <t>Calle 4 # 9A-76</t>
  </si>
  <si>
    <t>B/Los Lagos</t>
  </si>
  <si>
    <t>Valle del Cauca</t>
  </si>
  <si>
    <t>18 de marzo de 2023</t>
  </si>
  <si>
    <t>17 de junio de 2023</t>
  </si>
  <si>
    <t>reinaldogilgallego01@gmail.com</t>
  </si>
  <si>
    <t>SEIDER ANDERSON HENAO CORREA</t>
  </si>
  <si>
    <t>siete millones ochocientos treinta y ocho mil cuatrocientos</t>
  </si>
  <si>
    <t>Un millón dieciocho mil novecientos noventa y dos</t>
  </si>
  <si>
    <t>10 de octubre de 2022</t>
  </si>
  <si>
    <t>9 de enero de 2023</t>
  </si>
  <si>
    <t>B/Bosques de Santa Mónica</t>
  </si>
  <si>
    <t>Bloque 1 Apartamento 302</t>
  </si>
  <si>
    <t>seider-088@hotmail.com</t>
  </si>
  <si>
    <t>SUDAMERIS</t>
  </si>
  <si>
    <t>ASESOR</t>
  </si>
  <si>
    <t>AVISTA</t>
  </si>
  <si>
    <t>BANCO UNION</t>
  </si>
  <si>
    <t>EXCEL CREDIT</t>
  </si>
  <si>
    <t>AV VILLAS</t>
  </si>
  <si>
    <t>BANCO W</t>
  </si>
  <si>
    <t>CREDITO 2</t>
  </si>
  <si>
    <t>M.FERNANDA</t>
  </si>
  <si>
    <t>LUZ DARI ARENAS</t>
  </si>
  <si>
    <t>JOSE CARLOS BRITO</t>
  </si>
  <si>
    <t>RECUPERADO</t>
  </si>
  <si>
    <t>DARIO MANZANO VALENCIA</t>
  </si>
  <si>
    <t>MELBA ALZATE</t>
  </si>
  <si>
    <t>LUISA</t>
  </si>
  <si>
    <t>MARIA MELBA MOSQUERA</t>
  </si>
  <si>
    <t>JOSE ARLES PULGARIN</t>
  </si>
  <si>
    <t>OSCAR FERNANDO CASTAÑEDA</t>
  </si>
  <si>
    <t>JAIME RAMIREZ OSPINA</t>
  </si>
  <si>
    <t>ALEXANDER VELEZ GOMEZ</t>
  </si>
  <si>
    <t>MARIA DE LOS ANGELES RUIZ</t>
  </si>
  <si>
    <t>M.FERNANDA CONSUMO</t>
  </si>
  <si>
    <t>PEDRO IGNACIO SANCHEZ</t>
  </si>
  <si>
    <t>ZOILA BERMUDEZ CUERO</t>
  </si>
  <si>
    <t>FRANCISCO</t>
  </si>
  <si>
    <t>MARIA LEONILA DUQUE</t>
  </si>
  <si>
    <t>DARWIN ADRIAN ROPERO</t>
  </si>
  <si>
    <t>LUISA CONSUMO</t>
  </si>
  <si>
    <t>LUZ EDIT POSSO MARTINEZ</t>
  </si>
  <si>
    <t>LIBARDO DE JESUS BERNAL</t>
  </si>
  <si>
    <t>JORGE LEON NOREÑA MANRIQUE</t>
  </si>
  <si>
    <t>EDUARDO RESTREPO LIZCANO</t>
  </si>
  <si>
    <t>JOHN GARCIA SANCHEZ</t>
  </si>
  <si>
    <t>MARIA CONSUELO RIOS</t>
  </si>
  <si>
    <t>BAIDOINA MONTAÑO TORRES</t>
  </si>
  <si>
    <t>JUAN DE JESUS OSORIO</t>
  </si>
  <si>
    <t>ANGEL EURIPIDES PARRA</t>
  </si>
  <si>
    <t>LUIS FERNANDO MORALEZ</t>
  </si>
  <si>
    <t>RUBIEL ANTONIO CARMONA</t>
  </si>
  <si>
    <t>DIONEL GARCIA</t>
  </si>
  <si>
    <t>GERARDO GRUESO</t>
  </si>
  <si>
    <t>DEVUELTO</t>
  </si>
  <si>
    <t>FERNANDO ESPINOSA ARANGO</t>
  </si>
  <si>
    <t>Se desembolso compra de cartera</t>
  </si>
  <si>
    <t>Dos  millones cincuenta y seis mil</t>
  </si>
  <si>
    <t>28 de marzo de 2023</t>
  </si>
  <si>
    <t>27 de junio de 2023</t>
  </si>
  <si>
    <t>JUAN DIEGO DE BEDOUT SALDARRIAGA</t>
  </si>
  <si>
    <t>Envigado</t>
  </si>
  <si>
    <t>Nueve millones ochocientos cuarenta mil</t>
  </si>
  <si>
    <t>Un millón doscientos setenta y nueve mil doscientos</t>
  </si>
  <si>
    <t>Carrera 37A # 28-48</t>
  </si>
  <si>
    <t>B/Palmar de Villa Verde</t>
  </si>
  <si>
    <t>bedouthrxn@hotmail.com</t>
  </si>
  <si>
    <t>espinosafernando686@gmail.com</t>
  </si>
  <si>
    <t>Siete millones sesenta mil pesos</t>
  </si>
  <si>
    <t xml:space="preserve">Novecientos diecisiete mil ochocientos </t>
  </si>
  <si>
    <t>30 de marzo de 2023</t>
  </si>
  <si>
    <t>29 de junio de 2023</t>
  </si>
  <si>
    <t>Manzana 6 Casa 173 Plan 1</t>
  </si>
  <si>
    <t>B/Camilo Torres</t>
  </si>
  <si>
    <t xml:space="preserve">Calle 13 # 16-23   </t>
  </si>
  <si>
    <t>B/La Isabelita</t>
  </si>
  <si>
    <t>31 de marzo de 2023</t>
  </si>
  <si>
    <t>sincorreo@sincorreo</t>
  </si>
  <si>
    <t>VILMA LUCÍA PATIÑO ARENAS</t>
  </si>
  <si>
    <t>Calle 46 # 2-08 Lote 92A</t>
  </si>
  <si>
    <t>B/El Triunfo</t>
  </si>
  <si>
    <t>JOHAN SEBASTIÁN TORRES CUERVO</t>
  </si>
  <si>
    <t>Cali</t>
  </si>
  <si>
    <t>Calle 141 # 15A - 32</t>
  </si>
  <si>
    <t>Cerritos Campestre</t>
  </si>
  <si>
    <t>torresjohan609@gmail.com</t>
  </si>
  <si>
    <t>3 de abril de 2023</t>
  </si>
  <si>
    <t>2 de Julio de 2023</t>
  </si>
  <si>
    <t>BLANCA YDALY CUERVO DE DAMIÁN</t>
  </si>
  <si>
    <t>Carrera 7C Bis # 81-49</t>
  </si>
  <si>
    <t>B/Alfonso López</t>
  </si>
  <si>
    <t>2 de julio de 2023</t>
  </si>
  <si>
    <t>ALONSO ZULUAGA ARANGO</t>
  </si>
  <si>
    <t>Carrera 34 A # 71-88</t>
  </si>
  <si>
    <t>B/Los Sauces</t>
  </si>
  <si>
    <t>alonsozuluaga2015@hotmail.com</t>
  </si>
  <si>
    <t>3126876414 - 3116602250</t>
  </si>
  <si>
    <t>Siete cuotas de $70.000</t>
  </si>
  <si>
    <t>Seis cuotas de $300.000</t>
  </si>
  <si>
    <t>16 de julio de 2023</t>
  </si>
  <si>
    <t>MARLENY VALENCIA SEPÚLVEDA</t>
  </si>
  <si>
    <t>Roldanillo</t>
  </si>
  <si>
    <t>Carrera 28 Norte # 6-73</t>
  </si>
  <si>
    <t>B/Arrayanes</t>
  </si>
  <si>
    <t>marlenyvsulp@gmail.com</t>
  </si>
  <si>
    <t>17 de julio de 2023</t>
  </si>
  <si>
    <t xml:space="preserve">Un millón seiscientos treinta y nueve mil </t>
  </si>
  <si>
    <t>Doscientos trece mil setenta</t>
  </si>
  <si>
    <t>18 de julio de 2023</t>
  </si>
  <si>
    <t>GUILLERMO MEJÍA CÓRDOBA</t>
  </si>
  <si>
    <t>Carrera 5 # 14-25</t>
  </si>
  <si>
    <t>B/Bolívar</t>
  </si>
  <si>
    <t>JOSÉ ARLES PULGARÍN GALVEZ</t>
  </si>
  <si>
    <t>Calle 25 E # 21-10</t>
  </si>
  <si>
    <t>B/Palermo</t>
  </si>
  <si>
    <t>josearlespulgarin39@gmail.com</t>
  </si>
  <si>
    <t>21 de abril de 2023</t>
  </si>
  <si>
    <t>20 de julio de 2023</t>
  </si>
  <si>
    <t>JUAN DIEGO ECHAVARRÍA ZAPATA</t>
  </si>
  <si>
    <t>juan.echavarria3760@correo.policia.gov.co</t>
  </si>
  <si>
    <t>Caicedonia</t>
  </si>
  <si>
    <t>Calle 4 # 4-24</t>
  </si>
  <si>
    <t>24 de abril de 2023</t>
  </si>
  <si>
    <t>23 de julio de 2023</t>
  </si>
  <si>
    <t>LICED DANIELA HERNÁNDEZ CÁCERES</t>
  </si>
  <si>
    <t>Calle 27 # 1A-38</t>
  </si>
  <si>
    <t>B/Av. Del Río</t>
  </si>
  <si>
    <t>daniela17072000@gmail.com</t>
  </si>
  <si>
    <t>Cinco millones seiscientos setenta mil</t>
  </si>
  <si>
    <t>Setecientos treinta y siete mil cien</t>
  </si>
  <si>
    <t>WALTER BLANDÓN ISAZA</t>
  </si>
  <si>
    <t xml:space="preserve"> Pereira</t>
  </si>
  <si>
    <t>Carrera 6 # 25-36 Apartamento 102</t>
  </si>
  <si>
    <t>Edificio Luján</t>
  </si>
  <si>
    <t>walter.blandon@yahoo.es</t>
  </si>
  <si>
    <t>Treinta millones quinientos mil</t>
  </si>
  <si>
    <t>Cuatro millones quinientos setenta y cinco mil</t>
  </si>
  <si>
    <t>JAIME DE JESÚS ESCOBAR FLOREZ</t>
  </si>
  <si>
    <t>Calle 33 # 2-35</t>
  </si>
  <si>
    <t>B/Cañarte</t>
  </si>
  <si>
    <t>jaimepereira2022@hotmail.com</t>
  </si>
  <si>
    <t>25 de abril de 2023</t>
  </si>
  <si>
    <t>24 de julio de 2023</t>
  </si>
  <si>
    <t>Prestaprima</t>
  </si>
  <si>
    <t>JULIÁN RENDÓN</t>
  </si>
  <si>
    <t>MARÍA FDA. ALZATE</t>
  </si>
  <si>
    <t>PAGO TOTA.</t>
  </si>
  <si>
    <t>ALEJANDRO ALEMÁN</t>
  </si>
  <si>
    <t>27 de abril de 2023</t>
  </si>
  <si>
    <t>26 de abril de 2023</t>
  </si>
  <si>
    <t>FRANCISCO ELADIO ORTIZ VALENCIA</t>
  </si>
  <si>
    <t>Carrera 23 Bis # 72-75</t>
  </si>
  <si>
    <t>B/Cuba</t>
  </si>
  <si>
    <t>ofranciscoeladio@gmail.com</t>
  </si>
  <si>
    <t>2 de mayo de 2023</t>
  </si>
  <si>
    <t>1 de Agosto de 2023</t>
  </si>
  <si>
    <t>JULIÁN RENDÓN 4%</t>
  </si>
  <si>
    <t>NELLY GUTIÉRREZ GIRALDO</t>
  </si>
  <si>
    <t>Carrera 6 Norte # 13-28</t>
  </si>
  <si>
    <t>Panorama</t>
  </si>
  <si>
    <t>2 de Agosto de 2023</t>
  </si>
  <si>
    <t>mariovalenciasepulveda@gmail.com</t>
  </si>
  <si>
    <t>JOSÉ DARÍO SAAVEDRA SÁNCHEZ</t>
  </si>
  <si>
    <t>Calle 8 # 20-35 Apartamento 201</t>
  </si>
  <si>
    <t>Palestina</t>
  </si>
  <si>
    <t>josecamilo911@gmail.com</t>
  </si>
  <si>
    <t>4 de agosto de 2023</t>
  </si>
  <si>
    <t>SERGIO RAMÍREZ</t>
  </si>
  <si>
    <t>La Virginia</t>
  </si>
  <si>
    <t>Calle 82 # 34-65</t>
  </si>
  <si>
    <t>B/Batará Parque Central</t>
  </si>
  <si>
    <t>andrea.velez2678@gmail.com</t>
  </si>
  <si>
    <t>JULIÁN RENDÓN 3%</t>
  </si>
  <si>
    <t>NO ACEPTA SER CODEUDOR</t>
  </si>
  <si>
    <t>YAZMÍN ANDREA VÉLEZ VÁSQUEZ</t>
  </si>
  <si>
    <t>9 de mayo de 2023</t>
  </si>
  <si>
    <t>8 de agosto de 2023</t>
  </si>
  <si>
    <t>Pago cuota # 2/6</t>
  </si>
  <si>
    <t>CLAUDIA PATRICIA LADINO GARZÓN</t>
  </si>
  <si>
    <t>Manzana 2 Casa 16</t>
  </si>
  <si>
    <t>B/Mirador de Naranjito</t>
  </si>
  <si>
    <t>claudia.ladino@hotmail.com</t>
  </si>
  <si>
    <t>11 de mayo de 2023</t>
  </si>
  <si>
    <t>10 de Agosto de 2023</t>
  </si>
  <si>
    <t>BLANCA AMALIA GARZÓN DE LADINO</t>
  </si>
  <si>
    <t>Ibagué</t>
  </si>
  <si>
    <t>blanca.garzon446@casur.gov.co</t>
  </si>
  <si>
    <t>B/Los Pízamos</t>
  </si>
  <si>
    <t>Carrera 13 # 6E-78</t>
  </si>
  <si>
    <t>15 de mayo de 2023</t>
  </si>
  <si>
    <t>14 de Agosto de 2023</t>
  </si>
  <si>
    <t>NORA LEANDRA ORREGO HERRERA</t>
  </si>
  <si>
    <t>Manzana 25 Casa 413</t>
  </si>
  <si>
    <t>B/Las Mercedes Cuba</t>
  </si>
  <si>
    <t>monajoka12@gmail.com</t>
  </si>
  <si>
    <t>17 de mayo de 2023</t>
  </si>
  <si>
    <t>16 de agosto de 2023</t>
  </si>
  <si>
    <t>ARCÁNGEL DE JESÚS RÍOS CASTRO</t>
  </si>
  <si>
    <t>Apia</t>
  </si>
  <si>
    <t>423A</t>
  </si>
  <si>
    <t>Calle 6 # 9-04</t>
  </si>
  <si>
    <t>B/San Cayetano Centro</t>
  </si>
  <si>
    <t>rioscastroarcangel@gmail.com</t>
  </si>
  <si>
    <t>Quince millones cuatrocientos mil</t>
  </si>
  <si>
    <t>Dos millones dos mil</t>
  </si>
  <si>
    <t>jaimeramirezospina133@gmail.com</t>
  </si>
  <si>
    <t>18 de Agosto de 2023</t>
  </si>
  <si>
    <t>MARÍA DE LOS ÁNGELES RUIZ PINO</t>
  </si>
  <si>
    <t>Guática</t>
  </si>
  <si>
    <t>Manzana 1 Casa 11 Piso 2</t>
  </si>
  <si>
    <t>B/Altos de Santa Mónica</t>
  </si>
  <si>
    <t>maru-pino@hotmail.es</t>
  </si>
  <si>
    <t>23 de mayo de 2023</t>
  </si>
  <si>
    <t>22 de Agosto de 2023</t>
  </si>
  <si>
    <t>PAOLA ANDREA CASTAÑEDA DAZA</t>
  </si>
  <si>
    <t>Calarcá</t>
  </si>
  <si>
    <t>Manzana B casa 20</t>
  </si>
  <si>
    <t>B/Gaitán</t>
  </si>
  <si>
    <t>Quindío</t>
  </si>
  <si>
    <t>paolaann@hotmail.com</t>
  </si>
  <si>
    <t>Veinticinco millones ciento treinta mil</t>
  </si>
  <si>
    <t>Tres millones doscientos sesenta y seis mil novecientos</t>
  </si>
  <si>
    <t>23 de mayo de 2022</t>
  </si>
  <si>
    <t>22 de agosto de 2022</t>
  </si>
  <si>
    <t>BLANCA ELVIRA HERRERA BETANCURT</t>
  </si>
  <si>
    <t>Manzana 22 Casa 461</t>
  </si>
  <si>
    <t>29 de mayo de 2023</t>
  </si>
  <si>
    <t>28 de agosto de 2023</t>
  </si>
  <si>
    <t>4 de mayo de 2023</t>
  </si>
  <si>
    <t>3 de agosto de 2023</t>
  </si>
  <si>
    <t>FABIO DE JESÚS DUQUE VALENCIA</t>
  </si>
  <si>
    <t>Urb. Los Pízamos</t>
  </si>
  <si>
    <t>Vía Cerritos Pereira entrada 12 casa 12</t>
  </si>
  <si>
    <t>fabioduquev@gmail.com</t>
  </si>
  <si>
    <t>29 de Agosto de 2023</t>
  </si>
  <si>
    <t>JAVIER VALENCIA</t>
  </si>
  <si>
    <t>MARIA CONSUELO VINASCO CASTRO</t>
  </si>
  <si>
    <t>RIOSUCIO</t>
  </si>
  <si>
    <t>2 de septiembre 2023</t>
  </si>
  <si>
    <t xml:space="preserve">Manzana 21 Casa 25 </t>
  </si>
  <si>
    <t>Mirador de Llano Grande</t>
  </si>
  <si>
    <t>consuelito0459@hotmail.com</t>
  </si>
  <si>
    <t>HECTOR FABIO LOPEZ AGUIRRE</t>
  </si>
  <si>
    <t>CRA 6 #64-38</t>
  </si>
  <si>
    <t>Cañarte</t>
  </si>
  <si>
    <t>hector1023lopez1972@gmail.com</t>
  </si>
  <si>
    <t xml:space="preserve">Trecientos veintiún mil cuatrocientos noventa </t>
  </si>
  <si>
    <t>ÁLVARO HERNÁN CAMBINDO MINA</t>
  </si>
  <si>
    <t xml:space="preserve">Calle 15 # 12-95 </t>
  </si>
  <si>
    <t xml:space="preserve">B/Las Mercedes  </t>
  </si>
  <si>
    <t>alvarocambindo09@gmail.com</t>
  </si>
  <si>
    <t>7 de junio de 2023</t>
  </si>
  <si>
    <t>6 de Septiembre de 2023</t>
  </si>
  <si>
    <t>8 de junio de 2023</t>
  </si>
  <si>
    <t>7 de Septiembre de 2023</t>
  </si>
  <si>
    <t>ABELARDO ANTONIO CALLE</t>
  </si>
  <si>
    <t>Santuario</t>
  </si>
  <si>
    <t>Calle 36 # 6B-08</t>
  </si>
  <si>
    <t>B/1 de Febrero</t>
  </si>
  <si>
    <t>acalle6701@hotmail.com</t>
  </si>
  <si>
    <t>ALVARO PEREZ MURIEL</t>
  </si>
  <si>
    <t>Carrera 3 #23-29</t>
  </si>
  <si>
    <t>B/ San Jorge</t>
  </si>
  <si>
    <t>alvaroperezpereira2023@gmail.com</t>
  </si>
  <si>
    <t>14 de septiembre de 2023</t>
  </si>
  <si>
    <t>Dos millones ochocientos noventa pesos</t>
  </si>
  <si>
    <t>JUAN DAVID VALENCIA GONZÁLEZ</t>
  </si>
  <si>
    <t>Km. 4 vía a Armenia frente al motel Casablanca</t>
  </si>
  <si>
    <t>juandavidelpatron2020@gmail.com</t>
  </si>
  <si>
    <t xml:space="preserve">Veinte millones novecientos sesenta mil </t>
  </si>
  <si>
    <t>Dos millones setecientos veinticuatro mil ochocientos</t>
  </si>
  <si>
    <t>14 de enero de 2023</t>
  </si>
  <si>
    <t>13 de abril de 2023</t>
  </si>
  <si>
    <t>JOSE UBERTINO RIVAS GONZALEZ</t>
  </si>
  <si>
    <t>Istmina</t>
  </si>
  <si>
    <t>16 de septiembre de 2023</t>
  </si>
  <si>
    <t>grancombo05@gmail.com</t>
  </si>
  <si>
    <t>Calle 27 #8-40</t>
  </si>
  <si>
    <t>Garibaldy</t>
  </si>
  <si>
    <t>JOSE ARLES PULGARIN GALVEZ</t>
  </si>
  <si>
    <t>Calle 25B #21-10</t>
  </si>
  <si>
    <t>Palermo</t>
  </si>
  <si>
    <t>Supia</t>
  </si>
  <si>
    <t>Un millon novecientos diecisiete mil pesos</t>
  </si>
  <si>
    <t>20 de junio de 2023</t>
  </si>
  <si>
    <t>20 de septiembre de 2023</t>
  </si>
  <si>
    <t>ALFONSO EDUARDO BOTERO RENGIFO</t>
  </si>
  <si>
    <t>Carrera 7 Bis # 5A-65</t>
  </si>
  <si>
    <t>La Trinidad</t>
  </si>
  <si>
    <t>boteroalfonoso830@gmail.com</t>
  </si>
  <si>
    <t>21 de junio de 2023</t>
  </si>
  <si>
    <t>3196827531-6063349161</t>
  </si>
  <si>
    <t>MARIA ROSALBA HENAO ECHEVERRI</t>
  </si>
  <si>
    <t>Carrera 15 #171-38</t>
  </si>
  <si>
    <t>La Esperanza</t>
  </si>
  <si>
    <t>henaomariarosalba@gmail.com</t>
  </si>
  <si>
    <t xml:space="preserve">22 de junio  de 2023 </t>
  </si>
  <si>
    <t>22 de septiembre de 2023</t>
  </si>
  <si>
    <t>NELSON ALBEIRO HINCHIMA CHANTRE</t>
  </si>
  <si>
    <t>Calle 12 #14-09</t>
  </si>
  <si>
    <t>nelsonhinchima123@gmail.com</t>
  </si>
  <si>
    <t>424A</t>
  </si>
  <si>
    <t>ÉDGAR SÁNCHEZ ARIZA</t>
  </si>
  <si>
    <t>Velez</t>
  </si>
  <si>
    <t>425A</t>
  </si>
  <si>
    <t>Carrera 10 # 11-52</t>
  </si>
  <si>
    <t>El Motor</t>
  </si>
  <si>
    <t>Viterbo</t>
  </si>
  <si>
    <t>edgarsanchez70@hotmail.com</t>
  </si>
  <si>
    <t>Veintinueve millones trescientos mil</t>
  </si>
  <si>
    <t xml:space="preserve">Tres millones ochocientos nueve mil </t>
  </si>
  <si>
    <t xml:space="preserve">Veintidós millones seiscientos noventa y siete mil quinientos </t>
  </si>
  <si>
    <t>Dos millones novecientos cincuenta mil seiscientos setenta y cinco</t>
  </si>
  <si>
    <t>28 de septiembre de 2023</t>
  </si>
  <si>
    <t>AURORA MONCADA LOAIZA</t>
  </si>
  <si>
    <t>Altagracia</t>
  </si>
  <si>
    <t>Vereda Coralia</t>
  </si>
  <si>
    <t>10 de julio de 2023</t>
  </si>
  <si>
    <t>9 de octubre de 2023</t>
  </si>
  <si>
    <t>hectororozcopereira@gmail.com</t>
  </si>
  <si>
    <t>cuota 1</t>
  </si>
  <si>
    <t>ROBERTO RAMÍREZ AMAYA</t>
  </si>
  <si>
    <t>Calle 10 # 24-71</t>
  </si>
  <si>
    <t>jsbetojr@gmail.com</t>
  </si>
  <si>
    <t>14 de julio de 2023</t>
  </si>
  <si>
    <t>13 de octubre de 2023</t>
  </si>
  <si>
    <t>31 de julio de 2023</t>
  </si>
  <si>
    <t>30 de octubre de 2023</t>
  </si>
  <si>
    <t>LINA MARÍA SALDARRIAGA CASTAÑO</t>
  </si>
  <si>
    <t>Calle 153 Av. De las Américas # 22-40</t>
  </si>
  <si>
    <t>puppy6256@hotmail.com</t>
  </si>
  <si>
    <t>3 de noviembre de 2023</t>
  </si>
  <si>
    <t>Conj. Residencial Nobori torre 4 Apto. 901</t>
  </si>
  <si>
    <t>MAFE $2.000.000 - FRANCISCO $3.000.000</t>
  </si>
  <si>
    <t>EMBARGO ESTRATÉGICO</t>
  </si>
  <si>
    <t>EJE COMERCIAL</t>
  </si>
  <si>
    <t>MAFE $1.000.000 - FRANCISCO $1.000.000</t>
  </si>
  <si>
    <t>IVÁN ARANGO RESTREPO</t>
  </si>
  <si>
    <t>Medellín</t>
  </si>
  <si>
    <t>Carrera 8 # 4-13</t>
  </si>
  <si>
    <t>Villavicencio</t>
  </si>
  <si>
    <t xml:space="preserve">Dos millones trescientos treinta y cuatro mil </t>
  </si>
  <si>
    <t>Trescientos tres mil cuatrocientos veinte</t>
  </si>
  <si>
    <t>rentamosinmobiliaria@gmail.com</t>
  </si>
  <si>
    <t>Manzana 3 Casa 4</t>
  </si>
  <si>
    <t>Jaime Pardo Leal</t>
  </si>
  <si>
    <t>humadu24@gmail.com</t>
  </si>
  <si>
    <t>Dos millones doscientos cincuenta mil seiscientos</t>
  </si>
  <si>
    <t>Doscientos noventa y dos mil quinientos setenta y ocho</t>
  </si>
  <si>
    <t>11 de agosto de 2023</t>
  </si>
  <si>
    <t>10 de noviembre de 2023</t>
  </si>
  <si>
    <t>445E</t>
  </si>
  <si>
    <t>Carrera 6 # 34-68</t>
  </si>
  <si>
    <t>hector1023lopez1972@hotmail.com</t>
  </si>
  <si>
    <t xml:space="preserve">Doce millones seiscientos veinte mil </t>
  </si>
  <si>
    <t>Un millón seiscientos cuarenta mil seiscientos</t>
  </si>
  <si>
    <t>ALEJANDRO GÓMEZ FERNÁNDEZ</t>
  </si>
  <si>
    <t>Manzana 4 Casa 6</t>
  </si>
  <si>
    <t>Campestre D</t>
  </si>
  <si>
    <t>gomezfernandezalejandro269@gmail.com</t>
  </si>
  <si>
    <t>14 de agosto de 2023</t>
  </si>
  <si>
    <t>13 de noviembre de 2023</t>
  </si>
  <si>
    <t>MARÍA LIGIA TORO GARCÍA</t>
  </si>
  <si>
    <t>Marsella</t>
  </si>
  <si>
    <t>marialigiatorogarcia7@gmail.com</t>
  </si>
  <si>
    <t>Vereda Palmilla, km. 15 vía Pereira-Alcalá</t>
  </si>
  <si>
    <t>Finca La Palma</t>
  </si>
  <si>
    <t>YOHNIER CANO HENAO</t>
  </si>
  <si>
    <t xml:space="preserve">Calle 66 # 18-15 </t>
  </si>
  <si>
    <t>La Capilla</t>
  </si>
  <si>
    <t>cano75yohnier@hotmail.com</t>
  </si>
  <si>
    <t xml:space="preserve">Dos millones ciento veinticinco mil </t>
  </si>
  <si>
    <t>Doscientos setenta y seis mil trescientos quince</t>
  </si>
  <si>
    <t>15 de agosto de 2023</t>
  </si>
  <si>
    <t>14 de noviembre de 2023</t>
  </si>
  <si>
    <t xml:space="preserve">NORMALIZACIÓN DAVIVIENDA </t>
  </si>
  <si>
    <t>MARÍA FIDELINA SÁNCHEZ DE LONDOÑO</t>
  </si>
  <si>
    <t>Cra 5bis #37-48</t>
  </si>
  <si>
    <t>Centro</t>
  </si>
  <si>
    <t>mariafidelinasanchez25@gmail.com</t>
  </si>
  <si>
    <t xml:space="preserve">Veintiseis millones quinientos veinte mil pesos </t>
  </si>
  <si>
    <t>Tres millones cuatrocientos cuarenta y siete mil seiscientos pesos</t>
  </si>
  <si>
    <t>16 de febrero de 2023</t>
  </si>
  <si>
    <t>MARÍA MELBA MOSQUERA DE LOZANO</t>
  </si>
  <si>
    <t>Torre 5 Apartamento 302</t>
  </si>
  <si>
    <t>Reservas de la Pradera</t>
  </si>
  <si>
    <t>melbismosquera1938@gmail.com</t>
  </si>
  <si>
    <t>Dos millones trescientos ochenta y nueve mil seiscientos</t>
  </si>
  <si>
    <t>Trescientos diez mil seiscientos cuarenta y ocho</t>
  </si>
  <si>
    <t>15 de noviembre de 2023</t>
  </si>
  <si>
    <t>MARTHA NUBIA GALLO SIERRA</t>
  </si>
  <si>
    <t xml:space="preserve">Manzana 1 Casa 25 </t>
  </si>
  <si>
    <t>Bosques de la Acuarela Etapa 3</t>
  </si>
  <si>
    <t>marthang0216@gmail.com</t>
  </si>
  <si>
    <t>Cinco millones treinta mil seiscientos</t>
  </si>
  <si>
    <t>Seiscientos cincuenta y tres mil novecientos setenta y ocho</t>
  </si>
  <si>
    <t>SERGIO RAMIREZ</t>
  </si>
  <si>
    <t>LEONARDO BETANCUR CORRALES</t>
  </si>
  <si>
    <t>Popayan</t>
  </si>
  <si>
    <t>426A</t>
  </si>
  <si>
    <t>Un millon noventa y ocho mil quinientos pesos</t>
  </si>
  <si>
    <t>memogloriosocali@hotmail.com</t>
  </si>
  <si>
    <t>MARÍA DANELLY GALINDO DE SEPÚLVEDA</t>
  </si>
  <si>
    <t xml:space="preserve">Manzana 4 Casa 13 </t>
  </si>
  <si>
    <t>Jardín 1</t>
  </si>
  <si>
    <t>alejozapata1990@gmail.com</t>
  </si>
  <si>
    <t>22 de agosto de 2023</t>
  </si>
  <si>
    <t>21 de noviembre de 2023</t>
  </si>
  <si>
    <t>PEDRO NEL GONZÁLEZ MEJÍA</t>
  </si>
  <si>
    <t>Cartago</t>
  </si>
  <si>
    <t>Manzana 15 Casa 333</t>
  </si>
  <si>
    <t>San Marcos-Cuba</t>
  </si>
  <si>
    <t>pedritonel0705@hotmail.com</t>
  </si>
  <si>
    <t xml:space="preserve">Cuatro millones trescientos treinta y cinco mil seiscientos </t>
  </si>
  <si>
    <t>Quinientos sesenta y tres mil seiscientos veintiocho</t>
  </si>
  <si>
    <t>Honorarios</t>
  </si>
  <si>
    <t>VALOR TEXTO</t>
  </si>
  <si>
    <t>VALOR PROYECTADO</t>
  </si>
  <si>
    <t>ID CLIENTE</t>
  </si>
  <si>
    <t>427A</t>
  </si>
  <si>
    <t>428A</t>
  </si>
  <si>
    <t>Normalización</t>
  </si>
  <si>
    <t>Adelanto</t>
  </si>
  <si>
    <t>CONCEPTO</t>
  </si>
  <si>
    <t>FECHA</t>
  </si>
  <si>
    <t>DEBITO</t>
  </si>
  <si>
    <t>CREDITO</t>
  </si>
  <si>
    <t>SALDO</t>
  </si>
  <si>
    <t>REFERENCIA</t>
  </si>
  <si>
    <t>COMENTARIO</t>
  </si>
  <si>
    <t>MOTIVO</t>
  </si>
  <si>
    <t>PAGO HONORARIOS EDGAR CATAÑO</t>
  </si>
  <si>
    <t>PAGO CONTRATO DARIO MANZANO</t>
  </si>
  <si>
    <t>PAGO PROCESO INSOLVENCIA ROSEMARI CALERO</t>
  </si>
  <si>
    <t>PRESTAMO MERARDO GARCIA</t>
  </si>
  <si>
    <t>PRESTAMO</t>
  </si>
  <si>
    <t>ABOGADOS DIEGO</t>
  </si>
  <si>
    <t>ABOGADOS</t>
  </si>
  <si>
    <t xml:space="preserve">PRESTAMO FLOWER </t>
  </si>
  <si>
    <t>PRESTAMO FRANCISCO ENCOMIENDA</t>
  </si>
  <si>
    <t>PAGO PRESTAMO FLOWER</t>
  </si>
  <si>
    <t>PRESTAMO SILVIO MARTINEZ</t>
  </si>
  <si>
    <t>PRESTAMO FRANCISCO CUOTA BANCO DE BOGOTA</t>
  </si>
  <si>
    <t>PRESTAMO OSCAR FERNANDO CASTAÑEDA</t>
  </si>
  <si>
    <t>VIATICOS ZARZAL</t>
  </si>
  <si>
    <t>VIATICOS</t>
  </si>
  <si>
    <t>PAGO ABONO HONORARIOS EDUARDO LOPEZ</t>
  </si>
  <si>
    <t>PRESTAMO LUISA SUAREZ</t>
  </si>
  <si>
    <t>PARQUEADERO</t>
  </si>
  <si>
    <t>PRESTAMO CARLOS GERARDO GARCIA</t>
  </si>
  <si>
    <t>PAGO ABONO HONORARIOS LUIS ALBEIRO ESCOBAR</t>
  </si>
  <si>
    <t>PRESTAMO LUZ EDDY GARCIA G</t>
  </si>
  <si>
    <t>PRESTAMO ALONSO RINCON LOPEZ</t>
  </si>
  <si>
    <t>COMISIONES BANCO GNB SUDAMERIS</t>
  </si>
  <si>
    <t>COMISIONES</t>
  </si>
  <si>
    <t xml:space="preserve">SERVICIOS OFICINA FACTURA CLARO </t>
  </si>
  <si>
    <t>SERVICIOS</t>
  </si>
  <si>
    <t>INSUMOS LAPIZ BORRABLE - PORTAMINAS</t>
  </si>
  <si>
    <t>INSUMOS</t>
  </si>
  <si>
    <t>PAGO PARQUEADERO</t>
  </si>
  <si>
    <t>PRESTAMO FRANCISCO FUNERARIA</t>
  </si>
  <si>
    <t>PASAJES</t>
  </si>
  <si>
    <t>PAGO PRESTAMO CARLOS GERARDO GARCIA</t>
  </si>
  <si>
    <t>VIATICOS CHINCHINA FRAN</t>
  </si>
  <si>
    <t>NOMINA  LUISA SUAREZ</t>
  </si>
  <si>
    <t>NOMINA</t>
  </si>
  <si>
    <t>PAGO ABONO PRESTAMO LUISA SUAREZ</t>
  </si>
  <si>
    <t>PENDIENTE POR PAGAR 88MIL</t>
  </si>
  <si>
    <t>NOMINA MARIA FERNANDA ALZATE</t>
  </si>
  <si>
    <t xml:space="preserve">PAGO PLAN CELULAR MAFE </t>
  </si>
  <si>
    <t>PAGO ABONO PRESTAMO MAFE</t>
  </si>
  <si>
    <t>PENDIENTE POR PAGAR 200MIL</t>
  </si>
  <si>
    <t>Total</t>
  </si>
  <si>
    <t>PRESTAMO HECTOR DARIO DUQUE</t>
  </si>
  <si>
    <t>INSUMOS PORRON DE AGUA</t>
  </si>
  <si>
    <t>INSUMOS RESMA</t>
  </si>
  <si>
    <t>ASESOR COMISION EVER MEJIA</t>
  </si>
  <si>
    <t>PAGO PRESTAMO SILVIO MARTINEZ</t>
  </si>
  <si>
    <t xml:space="preserve">PAGO ABONO PRESTAMO MERARDO GARCIA </t>
  </si>
  <si>
    <t>PRESTAMO JAIME RAMIREZ</t>
  </si>
  <si>
    <t>PAGO PRESTAMO LUIS ANGEL MONTES</t>
  </si>
  <si>
    <t xml:space="preserve">PRESTAMO FRANCISCO FRANCISCO </t>
  </si>
  <si>
    <t>PRESTAMO JOSE RUBEN GARCIA</t>
  </si>
  <si>
    <t>PAGO PRESTAMO LUZ EDDY</t>
  </si>
  <si>
    <t>SERVICIOS PUBLICOS OFICINA Y ARRIENDO</t>
  </si>
  <si>
    <t>PRESTAMO HERNAN CARVAJAL</t>
  </si>
  <si>
    <t>RENDIMIENTOS FLOWER</t>
  </si>
  <si>
    <t>RENDIMIENTOS</t>
  </si>
  <si>
    <t>TITULOS JUDICIALES GERARDO GRUESO</t>
  </si>
  <si>
    <t>TITULOS</t>
  </si>
  <si>
    <t>PRESTAMO RICARDO HERNANDEZ</t>
  </si>
  <si>
    <t>PAGO PRESTAMO HECTOR DARIO DUQUE</t>
  </si>
  <si>
    <t>PRESTAMO JORGE ENRIQUE PATIÑO</t>
  </si>
  <si>
    <t>PAGO PRESTAMO HILDA PATRICIA HERRERA</t>
  </si>
  <si>
    <t>INVERSION DEVOLUCION DANIEL CASTAÑEDA</t>
  </si>
  <si>
    <t>INVERSION</t>
  </si>
  <si>
    <t>TITULOS JHON GARCIA</t>
  </si>
  <si>
    <t>PRESTAMO ALBA LUZ PRIETO</t>
  </si>
  <si>
    <t>NOMINA LUISA FERNANDA SUAREZ</t>
  </si>
  <si>
    <t>PAGO ABONO PRESTAMO LUISA</t>
  </si>
  <si>
    <t>NOMINA MARIA FERNANDA ALATE</t>
  </si>
  <si>
    <t>PAGO PLAN CELULAR MAFE</t>
  </si>
  <si>
    <t>PAGO PRESTAMO HERNAN CARVAJAL</t>
  </si>
  <si>
    <t>PAGO PRESTAMO JAIME RAMIREZ</t>
  </si>
  <si>
    <t>PRESTAMO FRANCISCO ANTONIO GONZALEZ</t>
  </si>
  <si>
    <t>PRESTAMO MARISOL SALINAS</t>
  </si>
  <si>
    <t>PRESTAMO DARIO MANZANO</t>
  </si>
  <si>
    <t>TITULOS DEVOLUCION GERARDO GRUEGO</t>
  </si>
  <si>
    <t>CONTADOR CERTIFICADO DE INGRESOS ADELA ROSA</t>
  </si>
  <si>
    <t>CONTADOR</t>
  </si>
  <si>
    <t>SERVICIOS PUBLICOS OFICINA</t>
  </si>
  <si>
    <t>PAGO PRESTAMO OSCAR FERNANDO CATAÑEDA</t>
  </si>
  <si>
    <t>PRESTAMO NORMALIZACION CARLOS ARTURO CARDONA</t>
  </si>
  <si>
    <t>SERVICIOS PUBLICOS OFICINA PLAN CELULARES</t>
  </si>
  <si>
    <t>PAGO PRESTAMO RICARDO HERNANDEZ</t>
  </si>
  <si>
    <t>PAGO PRESTAMO ALBA LUZ PRIETO</t>
  </si>
  <si>
    <t>PRESTAMO FRANCISCO CUOTA MOTO</t>
  </si>
  <si>
    <t>INSUMOS RECARGA DE TONER</t>
  </si>
  <si>
    <t>NOMINALUISA SUAREZ</t>
  </si>
  <si>
    <t>NOMINALUISA</t>
  </si>
  <si>
    <t>PAGO PRESTAMO LUISA SUAREZ</t>
  </si>
  <si>
    <t>PRESTAMO MARIA FERNANDA</t>
  </si>
  <si>
    <t>PAGO ABONO PRESTAMO ANGELA CASTRO</t>
  </si>
  <si>
    <t>PAGO PRESTAMO FRANCISCO ANTONIO GONZALEZ</t>
  </si>
  <si>
    <t>PRESTAMO JORGE LEON NOREÑA</t>
  </si>
  <si>
    <t>PRESTAMO LUIS FERNANDO MORALES</t>
  </si>
  <si>
    <t>PAGO PRESTAMO JORGE ENRIQUE PATIÑO</t>
  </si>
  <si>
    <t xml:space="preserve">PAGO PRESTAMO ALBERTO PATIÑO </t>
  </si>
  <si>
    <t>PAGO PRESTAMO ALONSO RINCON</t>
  </si>
  <si>
    <t xml:space="preserve">PRESTAMO FRANCISCO FACTURA TIGO </t>
  </si>
  <si>
    <t>INSUMOS OFICINA</t>
  </si>
  <si>
    <t>PRESTAMO FERNANDO MORALES</t>
  </si>
  <si>
    <t>PRESTAMO ENVIO CARLOS BRITO</t>
  </si>
  <si>
    <t>DEBE COBRAR AL CLIENTE</t>
  </si>
  <si>
    <t xml:space="preserve">PAGO PRESTAMO LUISA </t>
  </si>
  <si>
    <t>ASESOR COMISIONES LUISA</t>
  </si>
  <si>
    <t>VIATICOS ZARZAL FRAN</t>
  </si>
  <si>
    <t>PRESTAMO FERNANDO LOPEZ</t>
  </si>
  <si>
    <t xml:space="preserve">RENDIMIENTOS FLOWER </t>
  </si>
  <si>
    <t>PAGO PRESTAMO JORGE LEON NOREÑA</t>
  </si>
  <si>
    <t>PAGO ABONO HONORARIOS PENDIENTE ANGELA CASTRO</t>
  </si>
  <si>
    <t>PAGO ABONO A DEUDA ANGELA CASTRO</t>
  </si>
  <si>
    <t>PRESTAMO CARLOS BRITO</t>
  </si>
  <si>
    <t>PRESTAMO FERNANDO  ARDILA</t>
  </si>
  <si>
    <t>INDUSTRIA Y COMERCIO</t>
  </si>
  <si>
    <t>INDUSTRIA</t>
  </si>
  <si>
    <t>PRESTAMO JOSE EDIER SANCHEZ</t>
  </si>
  <si>
    <t>PAGO QUINCENA MAFE</t>
  </si>
  <si>
    <t>ABONO PRESTAMO MAFE</t>
  </si>
  <si>
    <t>ABONO</t>
  </si>
  <si>
    <t>PAGO QUINCENA LUISA SUAREZ</t>
  </si>
  <si>
    <t>PAGO CREDITO BANCO DE BOGOTA FRAN</t>
  </si>
  <si>
    <t>PRESTAMO UVER MUSSE</t>
  </si>
  <si>
    <t xml:space="preserve">ENTREGA JULIAN RENDON </t>
  </si>
  <si>
    <t>ENTREGA</t>
  </si>
  <si>
    <t>PRESTAMO LUZ DARI ARENAS</t>
  </si>
  <si>
    <t>PRESTAMO JHONATAN OSORIO</t>
  </si>
  <si>
    <t>PRESTAMO REINALDO GIL</t>
  </si>
  <si>
    <t>PAGO FACTURA CLARO</t>
  </si>
  <si>
    <t>PAGO ENVIO CARLOS BRITO</t>
  </si>
  <si>
    <t>PAGO CERTIFICADO CONTADOR DARWIN ROPERO</t>
  </si>
  <si>
    <t>PAGO CUOTA MOTO FRAN</t>
  </si>
  <si>
    <t>PAGO COMISIONES SUDAMERIS</t>
  </si>
  <si>
    <t>PAGO ARRIENDO OFICINA</t>
  </si>
  <si>
    <t>PAGO RECIBOS OFICINA</t>
  </si>
  <si>
    <t>PAGO NORMALIZACION CARLOS ARTURO CARDONA</t>
  </si>
  <si>
    <t>PAGO COMISIONES FEBRERO LUSA SUAREZ</t>
  </si>
  <si>
    <t>PAGO COMISIONES MAFE</t>
  </si>
  <si>
    <t xml:space="preserve">PAGO FUNERARIOA </t>
  </si>
  <si>
    <t>ABONO PRESTAMO EDGAR CATAÑO</t>
  </si>
  <si>
    <t>PAGO CUTOA FLAMINGO FRAN</t>
  </si>
  <si>
    <t>PAGO PRESTAMO FERNANDO MORALES</t>
  </si>
  <si>
    <t>PAGO PRESTAMO LUZ DARI ARENAS</t>
  </si>
  <si>
    <t>PAGO PRESTAMO UVER MUSSE</t>
  </si>
  <si>
    <t>PAGO NORMALIZACION UVER MUSSE</t>
  </si>
  <si>
    <t>PAGO COMISION MAFE- UVER MUSSE</t>
  </si>
  <si>
    <t>PAGO HONORARIOS MARISOL SALINAS</t>
  </si>
  <si>
    <t>PAGO PRESTAMO FERNANDO ESPINOSA ARDILA</t>
  </si>
  <si>
    <t>PAGO ENCOMIENDA FRANCISCO</t>
  </si>
  <si>
    <t>cobrar contrato</t>
  </si>
  <si>
    <t>PRESTAMO MAFE</t>
  </si>
  <si>
    <t xml:space="preserve">PAGO PRESTAMO LUIS ALBEIRO ESCOBAR </t>
  </si>
  <si>
    <t>INGRESO ALEJADRO ALEMAN</t>
  </si>
  <si>
    <t>INGRESO</t>
  </si>
  <si>
    <t>PRESTAMO JUAN</t>
  </si>
  <si>
    <t>PAGO CONTRATO JUAN</t>
  </si>
  <si>
    <t>PRESTAMO FERNANDO ESPINOSA ARANGO</t>
  </si>
  <si>
    <t>PAGO CONTRATO FERNANDO ESPINOSA ARANGO</t>
  </si>
  <si>
    <t>PAGO PRESTAMO JAIME RAMIREZ OSPINA</t>
  </si>
  <si>
    <t>JULIAN INGRESO</t>
  </si>
  <si>
    <t>JULIAN</t>
  </si>
  <si>
    <t>PRESTAMO VILMA PATIÑO</t>
  </si>
  <si>
    <t>PRESTAMO ALONSO ZULUAGA</t>
  </si>
  <si>
    <t xml:space="preserve">PAGO CONTRATO ALONSO ZULUAGA </t>
  </si>
  <si>
    <t xml:space="preserve">FRAN </t>
  </si>
  <si>
    <t>FRAN</t>
  </si>
  <si>
    <t>DEVOLUCION</t>
  </si>
  <si>
    <t>PAGO CUOTA CONTRATO NRO. 444 FERNANDO LOPEZ</t>
  </si>
  <si>
    <t>PAGO PRESTAMO FERNANDO ESPINOSA ARANGO</t>
  </si>
  <si>
    <t>PAGO PLANES CELULAR</t>
  </si>
  <si>
    <t xml:space="preserve">PAGO CUOTA BANCO DE BOGOTÁ </t>
  </si>
  <si>
    <t>PAGO PLAN MAFE</t>
  </si>
  <si>
    <t>INGRESO MAFE</t>
  </si>
  <si>
    <t>PENDIENTE CONSIGNAR A CTA DAVIVIVENDA</t>
  </si>
  <si>
    <t>PAGO QUINCENA LUISA</t>
  </si>
  <si>
    <t>PRESTAMO GUILLERMO MEJIA</t>
  </si>
  <si>
    <t>PRESTAMO MARLENY VALENCIA</t>
  </si>
  <si>
    <t>PAGO CUOTA NRO. 1 JHONATAN OSORIO</t>
  </si>
  <si>
    <t>PRESTAMO EDIER SANCHEZ</t>
  </si>
  <si>
    <t>PRESTAMO ARLES PULGARIN</t>
  </si>
  <si>
    <t>PAGO PRESTAMO MARIA MELBA MOSQUERA</t>
  </si>
  <si>
    <t>ENVIO CARLOS BRITO</t>
  </si>
  <si>
    <t>COBRAR AL CLIENTE</t>
  </si>
  <si>
    <t>ENVIO</t>
  </si>
  <si>
    <t>PAGO COMISIONES HERNANDO PASICHANA</t>
  </si>
  <si>
    <t>PAGO PRESTAMO HERNANDO PASICHANA</t>
  </si>
  <si>
    <t>PAGO PRESTAMO JUAN DIEGO DEBEDUT</t>
  </si>
  <si>
    <t>PAGO FACTURA TIGO FRAN</t>
  </si>
  <si>
    <t>PAGO FLAMINGO FRAN</t>
  </si>
  <si>
    <t>PAGO CUOTA DE MOTO</t>
  </si>
  <si>
    <t>INGRESO MAFE CONTRATO PRESTAMO</t>
  </si>
  <si>
    <t>PRESTAMO JAIME ESCOBAR</t>
  </si>
  <si>
    <t>PRESTA PRIMA</t>
  </si>
  <si>
    <t>PAGO COMISION AVISTA LUISA SUAREZ</t>
  </si>
  <si>
    <t>PAGO PLANES DE CELULAR</t>
  </si>
  <si>
    <t>PAGO NORMALIZACION DIEGO ECHAVARRIA</t>
  </si>
  <si>
    <t>PAGO NORMALIZACION MARLENY VALENCIA</t>
  </si>
  <si>
    <t>PAGO PLAN CELULAR JULIAN RENDON</t>
  </si>
  <si>
    <t>PAGO FACTURA CLARO OFICINA</t>
  </si>
  <si>
    <t>PAGO PRESTAMO ALONSO ZULUAGA</t>
  </si>
  <si>
    <t>PRESTAMO NELLY GUTIERREZ</t>
  </si>
  <si>
    <t>PAGO PRESTAMO OSCAR FERNANDO CASTAÑEDA</t>
  </si>
  <si>
    <t>PAGO PRESTAMO VILMA PATIÑO</t>
  </si>
  <si>
    <t>DEVOLUCION JULIAN RENDON</t>
  </si>
  <si>
    <t>INGRESO FRANCISCO</t>
  </si>
  <si>
    <t>MICROCREDITO JOHAN SEBASTIAN TORRES</t>
  </si>
  <si>
    <t>MICROCREDITO</t>
  </si>
  <si>
    <t>PAGO ESTUDIO DE CRÉDITO JOHAN SEBASTIAN TORRES</t>
  </si>
  <si>
    <t>PAGO COMISIONES LUISA SUAREZ</t>
  </si>
  <si>
    <t>PAGO PRESTAMO LUISA</t>
  </si>
  <si>
    <t>PRESTAMO DANIEL CASTAÑEDA</t>
  </si>
  <si>
    <t>PRESTAMO FRANCISCO ELADIO ORTIZ</t>
  </si>
  <si>
    <t>CONTRATO FRANCISCO ELADIO ORTIZ</t>
  </si>
  <si>
    <t>CONTRATO</t>
  </si>
  <si>
    <t xml:space="preserve">FRANCISCO </t>
  </si>
  <si>
    <t>PAGO PRESTAMO NELLY GUTIERREZ</t>
  </si>
  <si>
    <t>PRESTAMO JUAN DE JESUS OSORIO</t>
  </si>
  <si>
    <t>CONTRATO JUAN DE JESUS OSORIO</t>
  </si>
  <si>
    <t>IMPLEMENTOS OFICINA</t>
  </si>
  <si>
    <t>IMPLEMENTOS</t>
  </si>
  <si>
    <t>PAGO COMISION JAIME RAMIREZ</t>
  </si>
  <si>
    <t>PAGO CUOTA BANCO BOGOTÁ FRAN</t>
  </si>
  <si>
    <t>PAGO ICA</t>
  </si>
  <si>
    <t>PRESTAMO JAIME RAMIREZ OSPINA</t>
  </si>
  <si>
    <t>PRESTAMO MARIA DE LOS ANGELES RUIZ</t>
  </si>
  <si>
    <t>PAGO CONTRATO MARIA DE LOS ANGELES</t>
  </si>
  <si>
    <t xml:space="preserve">COORDINADORA FRANCISCO </t>
  </si>
  <si>
    <t>COORDINADORA</t>
  </si>
  <si>
    <t>PAGO PRESTAMO JUAN DE JESUS OSORIO</t>
  </si>
  <si>
    <t>PAGO SERVICIOS OFICINA CLL 23</t>
  </si>
  <si>
    <t>PAGO FUNERARIA</t>
  </si>
  <si>
    <t>PAGO FACTURA TIGO FRANCISCO</t>
  </si>
  <si>
    <t>INGRESA DINERO LIBARDO BERNAL</t>
  </si>
  <si>
    <t>INGRESA</t>
  </si>
  <si>
    <t>PAGO QUNCENA MAFE</t>
  </si>
  <si>
    <t>PRESTAMO NORA ORREGO</t>
  </si>
  <si>
    <t>PAGO ABONO PRESTAMO REINALDO GIL</t>
  </si>
  <si>
    <t>PRESTAMO FRANCISCO</t>
  </si>
  <si>
    <t>PRESTAMO HECTOR FABIO LOPEZ</t>
  </si>
  <si>
    <t xml:space="preserve">PRESTAMO MERARDO GARCIA </t>
  </si>
  <si>
    <t>PAGO CUOTA 1 JOHAN SEBASTIAN TORRES</t>
  </si>
  <si>
    <t>PAGO PRESTAMO DANIEL CASTAÑEDA</t>
  </si>
  <si>
    <t>PAGO PRESTAMO MARLENY VALENCIA</t>
  </si>
  <si>
    <t>PAGO PLAN  CELULAR MAFE</t>
  </si>
  <si>
    <t xml:space="preserve">SERVICIOS PUBLICOS OFICINA AGUA </t>
  </si>
  <si>
    <t>PRESTAMO JOSE UBERTINO</t>
  </si>
  <si>
    <t>PRESTAMO ALVARO CAMBINDO</t>
  </si>
  <si>
    <t>PAGO ABONO PRESTAMO MERARDO GARCIA</t>
  </si>
  <si>
    <t xml:space="preserve">PRESTAMO FRANCISCO CUOTA BANCO DE BOGOTÁ </t>
  </si>
  <si>
    <t>PRESTAMO JOSE ARLES PULGARIN</t>
  </si>
  <si>
    <t>SERVICIOS PUBLICOS OFICINA ENERGIA</t>
  </si>
  <si>
    <t>PRESTAMO ROSALBA HENAO</t>
  </si>
  <si>
    <t>INSUMO OFICINA PAPEL HIGIENICO</t>
  </si>
  <si>
    <t>INSUMO</t>
  </si>
  <si>
    <t>COMISIONES CREDITO2</t>
  </si>
  <si>
    <t>PENDIENTE PAGAR INTERESES</t>
  </si>
  <si>
    <t>PAGO PRESTAMO JOSE ARLES PULGARIN</t>
  </si>
  <si>
    <t xml:space="preserve">PAGO FUNERARIA </t>
  </si>
  <si>
    <t>PRESTAMO ALVARO PEREZ</t>
  </si>
  <si>
    <t>PAGO PRESTAMO DARIO MANZANO</t>
  </si>
  <si>
    <t>PAGO PRESTAMO MARISOL SALINAS</t>
  </si>
  <si>
    <t>PAGO PRESTAMO MARIA DE LOS ANGELES</t>
  </si>
  <si>
    <t>PAGO CUOTA 1 CREDITO NORA ORREGO</t>
  </si>
  <si>
    <t>PAGO PRESTAMO JAIME ESCOBAR</t>
  </si>
  <si>
    <t xml:space="preserve">PAGO PRESTAMO HECTOR FABIO LOPEZ </t>
  </si>
  <si>
    <t>RENDIMIENTOS FLOWER ANTONIO</t>
  </si>
  <si>
    <t>PENDIENTE 50MIL</t>
  </si>
  <si>
    <t>COMISIONES BANCO SUDAMERIS</t>
  </si>
  <si>
    <t>PRESTAMO ROBERTO RAMIREZ AMAYA</t>
  </si>
  <si>
    <t>PAGO CUOTA CREDITO NORA ORREGO</t>
  </si>
  <si>
    <t>APLICA HONORARIS A PARTIR DEL 18 AGOSTO</t>
  </si>
  <si>
    <t>PRESTAMO LINA SALDARRIAGA</t>
  </si>
  <si>
    <t>PRESTAMO IVAN ARANGO</t>
  </si>
  <si>
    <t>PAGO PRESTAMO MAFE</t>
  </si>
  <si>
    <t>PAGO ABONO CUOTA MICROCREDITO JHOAN SEBASTIAN TORRES</t>
  </si>
  <si>
    <t>TITULOS OSCAR DANILO GOMEZ</t>
  </si>
  <si>
    <t>COMISIONES GNB SUDAMERIS</t>
  </si>
  <si>
    <t>PAGO GESTION NORMALIZACION JHONIER CANO</t>
  </si>
  <si>
    <t>PAGO CONTRATO MARISOL SALINAS</t>
  </si>
  <si>
    <t>PAGO HONORARIOS PRESTAMO MERARDO GARCIA</t>
  </si>
  <si>
    <t>PRESTAMO MARIA ROSALBA HENAO</t>
  </si>
  <si>
    <t>PAGO CONTRATO MARIA ROSALBA HENAO</t>
  </si>
  <si>
    <t>Diagonal 1A # 1T-05</t>
  </si>
  <si>
    <t>Paraíso</t>
  </si>
  <si>
    <t>marisali8900@gmail.com</t>
  </si>
  <si>
    <t>24 de agosto de 2023</t>
  </si>
  <si>
    <t>23 de noviembre de 2023</t>
  </si>
  <si>
    <t>FRANCISCO VALENCIA</t>
  </si>
  <si>
    <t>ALEYDA ALARCÓN ARIAS</t>
  </si>
  <si>
    <t>Santa Rosa de Cabal</t>
  </si>
  <si>
    <t>Calle 10 # 15-44</t>
  </si>
  <si>
    <t>La Quiebra</t>
  </si>
  <si>
    <t>vivi071285@hotmail.com</t>
  </si>
  <si>
    <t>Dos millones seiscientos sesenta y siete mil seiscientos</t>
  </si>
  <si>
    <t>Trescientos cuarenta y seis mil setecientos ochenta y ocho</t>
  </si>
  <si>
    <t xml:space="preserve">Dos millones ochocientos noventa mil </t>
  </si>
  <si>
    <t>25 de agosto de 2023</t>
  </si>
  <si>
    <t>24 de noviembre de 2023</t>
  </si>
  <si>
    <t>LUIS EDUARDO AMAYA GUTIERREZ</t>
  </si>
  <si>
    <t>430A</t>
  </si>
  <si>
    <t>Carrera 1E #13-03</t>
  </si>
  <si>
    <t>Anserma</t>
  </si>
  <si>
    <t>luchoeduardo0509@gmail.com</t>
  </si>
  <si>
    <t>Cuarenta y tres millones doscientos mil</t>
  </si>
  <si>
    <t>Cinco millones seiscientos dieciséis mil</t>
  </si>
  <si>
    <t>25 de marzo de 2023</t>
  </si>
  <si>
    <t>24 de junio de 2023</t>
  </si>
  <si>
    <t>Préstamo</t>
  </si>
  <si>
    <t>Banco de Bogotá</t>
  </si>
  <si>
    <t>Bayport</t>
  </si>
  <si>
    <t>ENTIDAD</t>
  </si>
  <si>
    <t>Systemgroup</t>
  </si>
  <si>
    <t>Prestamo con codeudora</t>
  </si>
  <si>
    <t>CODEUDOR</t>
  </si>
  <si>
    <t>ID CODEUDOR</t>
  </si>
  <si>
    <t>SI</t>
  </si>
  <si>
    <t>SERVICIOS PUBLICOS ARRIENDO FEBRERO OFICINA</t>
  </si>
  <si>
    <t>INVERSION DEVOLUCION LIBARDO BERNAL</t>
  </si>
  <si>
    <t>INSUMOS PAGO TONER</t>
  </si>
  <si>
    <t>NOMINA MARIA FERNANDA</t>
  </si>
  <si>
    <t>COMISIONES AVISTA</t>
  </si>
  <si>
    <t>PRESTAMO FRANCISCO CRÉDITO BANCO BOGOTA</t>
  </si>
  <si>
    <t>SERVICIOS PUBLICOS RECIBO ENERGIA</t>
  </si>
  <si>
    <t>NOMINA CONTADORA</t>
  </si>
  <si>
    <t>SERVICIOS PUBLICOS FACTURA CLARO HOGAR</t>
  </si>
  <si>
    <t xml:space="preserve">INVERSION FRANCISCO </t>
  </si>
  <si>
    <t>INVERSION MARIA FERNANDA</t>
  </si>
  <si>
    <t>SERVICIOS PUBLICOS ARRIENDO OFICINA</t>
  </si>
  <si>
    <t>PAGO ABONO PRESTAMO MARIA FERNANDA</t>
  </si>
  <si>
    <t>COMISIONES COMUNIDAD</t>
  </si>
  <si>
    <t>COMISIONES BANCO BOGOTA</t>
  </si>
  <si>
    <t>INVERSION ALEJANDRO ALEMAN</t>
  </si>
  <si>
    <t>ABOGADOS NOTIFICACIONES CTCOOP</t>
  </si>
  <si>
    <t>INSUMOS AUTENTICACION MARIA FERNANDA</t>
  </si>
  <si>
    <t>COMISIONES BANCO DE BOGOTA</t>
  </si>
  <si>
    <t>INSUMOS PORRON AGUA OFICINA</t>
  </si>
  <si>
    <t>SERVICIOS PUBLICOS FACTURA CLARO OFICINA</t>
  </si>
  <si>
    <t>SERVICIOS PUBLICOS ENERGIA OFICINA</t>
  </si>
  <si>
    <t>PAGO PRESTAMO FABIO DE JESUS DUQUE</t>
  </si>
  <si>
    <t>ACTIVO</t>
  </si>
  <si>
    <t>VENCIDO</t>
  </si>
  <si>
    <t>PROCESO JURIDICO</t>
  </si>
  <si>
    <t>ESTADO CONTRATO</t>
  </si>
  <si>
    <t>JURIDICO</t>
  </si>
  <si>
    <t>Clientes.CLIENTE</t>
  </si>
  <si>
    <t>Clientes.IDENTIFICACIÓN</t>
  </si>
  <si>
    <t>Clientes.EXPEDICIÓN</t>
  </si>
  <si>
    <t>Clientes.DIRECCIÓN</t>
  </si>
  <si>
    <t>Clientes.BARRIO</t>
  </si>
  <si>
    <t>Clientes.CIUDAD</t>
  </si>
  <si>
    <t>Clientes.DEPARTAMENTO</t>
  </si>
  <si>
    <t>Clientes.TELÉFONO</t>
  </si>
  <si>
    <t>Clientes.E-MAIL</t>
  </si>
  <si>
    <t>Tres Millones Ochocientos Sesenta y Tres Mil Pesos</t>
  </si>
  <si>
    <t/>
  </si>
  <si>
    <t>Dos Millones Ciento Noventa y Cinco Mil Pesos</t>
  </si>
  <si>
    <t>Un Millón Novecientos Diecisiete Mil Pesos</t>
  </si>
  <si>
    <t>Tres Millones Quinientos Ochenta y Cinco Mil Pesos</t>
  </si>
  <si>
    <t>Cuatro Millones Doscientos Ochenta Mil Pesos</t>
  </si>
  <si>
    <t>Dos Millones Ochocientos Noventa Mil Pesos</t>
  </si>
  <si>
    <t>Dos Millones Cincuenta y Seis Mil Pesos</t>
  </si>
  <si>
    <t>Dos Millones Seiscientos Ochenta y Un Mil Quinientos Pesos</t>
  </si>
  <si>
    <t>Dos Millones Seiscientos Doce Mil Pesos</t>
  </si>
  <si>
    <t>Un Millón Setecientos Setenta y Ocho Mil Pesos</t>
  </si>
  <si>
    <t>Dos Millones Cuatrocientos Setenta y Tres Mil Pesos</t>
  </si>
  <si>
    <t>Ocho Millones Cuatrocientos Cincuenta Mil Pesos</t>
  </si>
  <si>
    <t>Cuatro Millones Novecientos Setenta y Cinco Mil Pesos</t>
  </si>
  <si>
    <t>Un Millón Novecientos Ochenta y Seis Mil Quinientos Pesos</t>
  </si>
  <si>
    <t>Un Millón Seiscientos Treinta y Nueve Mil Pesos</t>
  </si>
  <si>
    <t>Doce Millones Seiscientos Veinte Mil Pesos</t>
  </si>
  <si>
    <t>Tres Millones Ciento Cinco Mil Cuatrocientos Cincuenta Pesos</t>
  </si>
  <si>
    <t>Un Millón Ochocientos Treinta y Seis Mil Trescientos Ochenta Pesos</t>
  </si>
  <si>
    <t>Tres Millones Ciento Sesenta y Ocho Mil Pesos</t>
  </si>
  <si>
    <t>Nueve Millones Ochocientos Cuarenta Mil Pesos</t>
  </si>
  <si>
    <t>Siete Millones Ochocientos Treinta y Ocho Mil Cuatrocientos Pesos</t>
  </si>
  <si>
    <t>Siete Millones Sesenta Mil Pesos</t>
  </si>
  <si>
    <t>Veintinueve Millones Trescientos Mil Pesos</t>
  </si>
  <si>
    <t>Cinco Millones Seiscientos Setenta Mil Pesos</t>
  </si>
  <si>
    <t>Quince Millones Cuatrocientos Mil Pesos</t>
  </si>
  <si>
    <t>Veinticinco Millones Ciento Treinta Mil Pesos</t>
  </si>
  <si>
    <t>Veinte Millones Novecientos Sesenta Mil Pesos</t>
  </si>
  <si>
    <t>Veintidos Millones Seiscientos Noventa y Siete Mil Quinientos Pesos</t>
  </si>
  <si>
    <t>Dos Millones Trescientos Treinta y Cuatro Mil Pesos</t>
  </si>
  <si>
    <t>Dos Millones Doscientos Cincuenta Mil Seiscientos Pesos</t>
  </si>
  <si>
    <t>Dos Millones Ciento Veinticinco Mil Quinientos Pesos</t>
  </si>
  <si>
    <t>Veintiseis Millones Quinientos Veinte Mil Pesos</t>
  </si>
  <si>
    <t>Dos Millones Trescientos Ochenta y Nueve Mil Seiscientos Pesos</t>
  </si>
  <si>
    <t>Cinco Millones Treinta Mil Seiscientos Pesos</t>
  </si>
  <si>
    <t>Cuatro Millones Trescientos Treinta y Cinco Mil Seiscientos Pesos</t>
  </si>
  <si>
    <t>Dos Millones Seiscientos Sesenta y Siete Mil Seiscientos Pesos</t>
  </si>
  <si>
    <t>Cuarenta y Tres Millones Doscientos Mil Pesos</t>
  </si>
  <si>
    <t>RAFAEL ENRIQUE MUÑOZ VIRGUEZ</t>
  </si>
  <si>
    <t>La Dorada</t>
  </si>
  <si>
    <t>Calle 8A # 21A-26</t>
  </si>
  <si>
    <t>Las Margaritas</t>
  </si>
  <si>
    <t>rafael.munoz061074@gmail.com</t>
  </si>
  <si>
    <t>rafael.muñoz061074@gmail.com</t>
  </si>
  <si>
    <t>30 de agosto de 2023</t>
  </si>
  <si>
    <t>29 de noviembre de 2023</t>
  </si>
  <si>
    <t>Préstamo Personal</t>
  </si>
  <si>
    <t>4 de septiembre de 2023</t>
  </si>
  <si>
    <t>3 de diciembre de 2023</t>
  </si>
  <si>
    <t>Carrera 14 Casa 70 piso 2</t>
  </si>
  <si>
    <t>El Plumón</t>
  </si>
  <si>
    <t>seiderhenao@gmail.com</t>
  </si>
  <si>
    <t>1 de febrero</t>
  </si>
  <si>
    <t>INVERSION JULIAN REDON</t>
  </si>
  <si>
    <t xml:space="preserve">INVERSION DEVOLUCION JULIAN REDON </t>
  </si>
  <si>
    <t>INVRSION DEVOLUCION FLOWER</t>
  </si>
  <si>
    <t>INVRSION</t>
  </si>
  <si>
    <t>INVERSION DEVOLUCION ALEJANDRO ALEMAN</t>
  </si>
  <si>
    <t>SERVICIOS PUBLICOS OFICINA FACTURA CLARO</t>
  </si>
  <si>
    <t>PRESTAMO PAGO CUOTA FLAMINGO FRANCISCO</t>
  </si>
  <si>
    <t>INSUMOS COPIA LLAVES OFICINA</t>
  </si>
  <si>
    <t>PAGO ABONO PRESTAMO JAIME RAMIREZ</t>
  </si>
  <si>
    <t>PRESTAMO ENVIO FRANCISCO</t>
  </si>
  <si>
    <t>IMPUESTOS PENDIENTES DIAN</t>
  </si>
  <si>
    <t>IMPUESTOS</t>
  </si>
  <si>
    <t>INVERSION DEVOLUCION MAFE</t>
  </si>
  <si>
    <t>COMISIONES BANCO DE BOGOTÁ</t>
  </si>
  <si>
    <t>IMPUESTOS OFICINA</t>
  </si>
  <si>
    <t>INSUMOS ENVIO PAQUETE ROBERTO RAMIREZ</t>
  </si>
  <si>
    <t>PAGO COTRATO LINA SALDARRIAGA</t>
  </si>
  <si>
    <t>PAGO CONTRATO IVAN ARANGO</t>
  </si>
  <si>
    <t>PRESTAMO MARIA LIGIA TORO</t>
  </si>
  <si>
    <t>PAGO CONTRATO MARIA LIGIA TORO</t>
  </si>
  <si>
    <t>PRESTAMO CERTIFICADO LAGOBO ROSALBA HENAO</t>
  </si>
  <si>
    <t>PRESTAMO FRANCISCO VALENCIA ARRIENDO APTO</t>
  </si>
  <si>
    <t>SERVICIOS PUBLICOS LINEAR MOBILES CLARO</t>
  </si>
  <si>
    <t>INVERSION DEVOLUCION LIBARDO DE JESUS BERNAL</t>
  </si>
  <si>
    <t>PRESTAMO FRANCISCO VALENCIA</t>
  </si>
  <si>
    <t>COMISIONES MISSION</t>
  </si>
  <si>
    <t>PAGO CONTRATO MERARDO GARCIA</t>
  </si>
  <si>
    <t>PAGO ABONO PRESTAMO LINA SALDARRIAGA</t>
  </si>
  <si>
    <t>PRESTAMO SEIDER ANDERSON HENAO</t>
  </si>
  <si>
    <t>PAGO CONTRATO SEIDER ANDERSON HENAO</t>
  </si>
  <si>
    <t>PAGO CONTRATO LIGIA TORO</t>
  </si>
  <si>
    <t>PRESTAMO JAIME DE JESUS ESCOBAR FLOREZ</t>
  </si>
  <si>
    <t>PAGO CONTRATO JAIME DE JESUS ESCOBAR</t>
  </si>
  <si>
    <t>MARÍA NUL GARZÓN DE RENDÓN</t>
  </si>
  <si>
    <t>Los Almendros</t>
  </si>
  <si>
    <t>Calle 16 # 6A-65</t>
  </si>
  <si>
    <t>linamaritza15@hotmail.es</t>
  </si>
  <si>
    <t>Alta Gracia</t>
  </si>
  <si>
    <t>San Camilo</t>
  </si>
  <si>
    <t>Dos Millones Doscientos Sesenta y Cuatro Mil Quinientos Pesos</t>
  </si>
  <si>
    <t>ÓSCAR ALONSO OSPINA JARAMILLO</t>
  </si>
  <si>
    <t>Torre 7 apartamento 201</t>
  </si>
  <si>
    <t>Nuevo Milenio</t>
  </si>
  <si>
    <t>ospinaoscaralonso1961@gmail.com</t>
  </si>
  <si>
    <t>Anticipo de Recursos</t>
  </si>
  <si>
    <t>Calle 10 A # 31-09</t>
  </si>
  <si>
    <t>Centenario</t>
  </si>
  <si>
    <t>educacionambientaljf@gmail.com</t>
  </si>
  <si>
    <t>JOSÉ FERNANDO JIMÉNEZ ORTEGÓN</t>
  </si>
  <si>
    <t>431A</t>
  </si>
  <si>
    <t>Tres Millones Doscientos Treinta y Siete Mil Quinientos Pesos</t>
  </si>
  <si>
    <t>HELMER ALIRIO MOSQUERA MOSQUERA</t>
  </si>
  <si>
    <t>Carrera 24B # 18-23</t>
  </si>
  <si>
    <t>La Hermosa</t>
  </si>
  <si>
    <t>alirio112@hotmail.com</t>
  </si>
  <si>
    <t>432A</t>
  </si>
  <si>
    <t>Cincuenta y Siete Millones Cien Mil Pesos</t>
  </si>
  <si>
    <t>Dos Millones Setecientos Cincuenta y Un Mil Pesos</t>
  </si>
  <si>
    <t>COMISION STELLA CHAVES REFERIDO</t>
  </si>
  <si>
    <t>COMISION</t>
  </si>
  <si>
    <t>Altos de Santa Mónica</t>
  </si>
  <si>
    <t>Carrera 5 Bis # 37-48</t>
  </si>
  <si>
    <t>PAGO CONTRATO MARLENY VALENCIA</t>
  </si>
  <si>
    <t>PAGO EMBARGO GLADYS ESPINOSA</t>
  </si>
  <si>
    <t>PRESTAMO ANGELES RUIZ PINO</t>
  </si>
  <si>
    <t>PAGO CONTRATO ANGELES RUIZ PINO</t>
  </si>
  <si>
    <t>NOTIFICACIONES EMBARGOS</t>
  </si>
  <si>
    <t>NOTIFICACIONES</t>
  </si>
  <si>
    <t>PAGO PRESTAMO SEIDER ANDERSON HENAO</t>
  </si>
  <si>
    <t>LUIS RAMIRO RODAS QUIROZ</t>
  </si>
  <si>
    <t>ing.ramirorodas@gmail.com</t>
  </si>
  <si>
    <t>PRESTAMO MARIA FIDELLINA SANCHEZ DE LONDOÑO</t>
  </si>
  <si>
    <t>Calle 9 # 2W-40</t>
  </si>
  <si>
    <t>La Badea</t>
  </si>
  <si>
    <t>hectorduque@yahoo.com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</si>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</sst>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\ #,##0;[Red]\-&quot;$&quot;\ #,##0"/>
    <numFmt numFmtId="44" formatCode="_-&quot;$&quot;\ * #,##0.00_-;\-&quot;$&quot;\ * #,##0.00_-;_-&quot;$&quot;\ * &quot;-&quot;??_-;_-@_-"/>
    <numFmt numFmtId="164" formatCode="&quot;$&quot;#,##0"/>
    <numFmt numFmtId="165" formatCode="dd\ &quot;de&quot;\ mmmm\ &quot;de&quot;\ yyyy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 style="medium">
        <color rgb="FFCCCCCC"/>
      </left>
      <right style="medium">
        <color rgb="FF000000"/>
      </right>
      <top/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41">
    <xf numFmtId="0" fontId="0" fillId="0" borderId="0" xfId="0"/>
    <xf numFmtId="0" fontId="0" fillId="2" borderId="1" xfId="0" applyFill="1" applyBorder="1" applyAlignment="1">
      <alignment wrapText="1"/>
    </xf>
    <xf numFmtId="0" fontId="0" fillId="2" borderId="2" xfId="0" applyFill="1" applyBorder="1" applyAlignment="1">
      <alignment horizontal="right" wrapText="1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wrapText="1"/>
    </xf>
    <xf numFmtId="0" fontId="0" fillId="2" borderId="2" xfId="0" applyFill="1" applyBorder="1" applyAlignment="1">
      <alignment vertical="center" wrapText="1"/>
    </xf>
    <xf numFmtId="0" fontId="0" fillId="2" borderId="2" xfId="0" applyFill="1" applyBorder="1" applyAlignment="1">
      <alignment horizontal="center" wrapText="1"/>
    </xf>
    <xf numFmtId="15" fontId="0" fillId="2" borderId="2" xfId="0" applyNumberFormat="1" applyFill="1" applyBorder="1" applyAlignment="1">
      <alignment horizontal="right" wrapText="1"/>
    </xf>
    <xf numFmtId="0" fontId="0" fillId="0" borderId="1" xfId="0" applyBorder="1" applyAlignment="1">
      <alignment wrapText="1"/>
    </xf>
    <xf numFmtId="0" fontId="0" fillId="0" borderId="2" xfId="0" applyBorder="1" applyAlignment="1">
      <alignment horizontal="right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center" wrapText="1"/>
    </xf>
    <xf numFmtId="15" fontId="0" fillId="0" borderId="2" xfId="0" applyNumberFormat="1" applyBorder="1" applyAlignment="1">
      <alignment horizontal="right" wrapText="1"/>
    </xf>
    <xf numFmtId="15" fontId="0" fillId="2" borderId="4" xfId="0" applyNumberFormat="1" applyFill="1" applyBorder="1" applyAlignment="1">
      <alignment horizontal="right" wrapText="1"/>
    </xf>
    <xf numFmtId="0" fontId="0" fillId="0" borderId="4" xfId="0" applyBorder="1" applyAlignment="1">
      <alignment wrapText="1"/>
    </xf>
    <xf numFmtId="0" fontId="0" fillId="0" borderId="3" xfId="0" applyBorder="1"/>
    <xf numFmtId="0" fontId="1" fillId="0" borderId="3" xfId="0" applyFont="1" applyBorder="1" applyAlignment="1">
      <alignment horizontal="center" vertical="center"/>
    </xf>
    <xf numFmtId="164" fontId="0" fillId="0" borderId="6" xfId="0" applyNumberFormat="1" applyBorder="1" applyAlignment="1">
      <alignment horizontal="right" wrapText="1"/>
    </xf>
    <xf numFmtId="164" fontId="0" fillId="2" borderId="2" xfId="0" applyNumberFormat="1" applyFill="1" applyBorder="1" applyAlignment="1">
      <alignment horizontal="right" wrapText="1"/>
    </xf>
    <xf numFmtId="164" fontId="0" fillId="0" borderId="2" xfId="0" applyNumberFormat="1" applyBorder="1" applyAlignment="1">
      <alignment horizontal="right" wrapText="1"/>
    </xf>
    <xf numFmtId="164" fontId="0" fillId="2" borderId="6" xfId="0" applyNumberFormat="1" applyFill="1" applyBorder="1" applyAlignment="1">
      <alignment horizontal="right" wrapText="1"/>
    </xf>
    <xf numFmtId="15" fontId="0" fillId="2" borderId="2" xfId="0" applyNumberFormat="1" applyFill="1" applyBorder="1" applyAlignment="1">
      <alignment wrapText="1"/>
    </xf>
    <xf numFmtId="15" fontId="0" fillId="2" borderId="4" xfId="0" applyNumberFormat="1" applyFill="1" applyBorder="1" applyAlignment="1">
      <alignment wrapText="1"/>
    </xf>
    <xf numFmtId="164" fontId="0" fillId="0" borderId="0" xfId="0" applyNumberFormat="1"/>
    <xf numFmtId="0" fontId="0" fillId="0" borderId="13" xfId="0" applyBorder="1"/>
    <xf numFmtId="0" fontId="0" fillId="0" borderId="3" xfId="0" applyBorder="1" applyAlignment="1">
      <alignment wrapText="1"/>
    </xf>
    <xf numFmtId="0" fontId="0" fillId="0" borderId="3" xfId="0" applyBorder="1" applyAlignment="1">
      <alignment horizontal="right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164" fontId="0" fillId="0" borderId="3" xfId="0" applyNumberFormat="1" applyBorder="1" applyAlignment="1">
      <alignment horizontal="right" wrapText="1"/>
    </xf>
    <xf numFmtId="0" fontId="0" fillId="0" borderId="3" xfId="0" applyBorder="1" applyAlignment="1">
      <alignment horizontal="center" wrapText="1"/>
    </xf>
    <xf numFmtId="15" fontId="0" fillId="0" borderId="3" xfId="0" applyNumberFormat="1" applyBorder="1" applyAlignment="1">
      <alignment horizontal="right" wrapText="1"/>
    </xf>
    <xf numFmtId="0" fontId="0" fillId="0" borderId="3" xfId="0" applyBorder="1" applyAlignment="1">
      <alignment vertical="center"/>
    </xf>
    <xf numFmtId="0" fontId="2" fillId="0" borderId="3" xfId="1" applyBorder="1" applyAlignment="1">
      <alignment vertical="center" wrapText="1"/>
    </xf>
    <xf numFmtId="3" fontId="0" fillId="0" borderId="3" xfId="0" applyNumberFormat="1" applyBorder="1"/>
    <xf numFmtId="0" fontId="0" fillId="2" borderId="3" xfId="0" applyFill="1" applyBorder="1" applyAlignment="1">
      <alignment wrapText="1"/>
    </xf>
    <xf numFmtId="0" fontId="0" fillId="2" borderId="3" xfId="0" applyFill="1" applyBorder="1" applyAlignment="1">
      <alignment horizontal="right" wrapText="1"/>
    </xf>
    <xf numFmtId="0" fontId="0" fillId="2" borderId="3" xfId="0" applyFill="1" applyBorder="1" applyAlignment="1">
      <alignment horizontal="center" vertical="center" wrapText="1"/>
    </xf>
    <xf numFmtId="0" fontId="0" fillId="2" borderId="3" xfId="0" applyFill="1" applyBorder="1" applyAlignment="1">
      <alignment vertical="center" wrapText="1"/>
    </xf>
    <xf numFmtId="0" fontId="2" fillId="2" borderId="3" xfId="1" applyFill="1" applyBorder="1" applyAlignment="1">
      <alignment vertical="center" wrapText="1"/>
    </xf>
    <xf numFmtId="164" fontId="0" fillId="2" borderId="3" xfId="0" applyNumberFormat="1" applyFill="1" applyBorder="1" applyAlignment="1">
      <alignment horizontal="right" wrapText="1"/>
    </xf>
    <xf numFmtId="0" fontId="0" fillId="2" borderId="3" xfId="0" applyFill="1" applyBorder="1" applyAlignment="1">
      <alignment horizontal="center" wrapText="1"/>
    </xf>
    <xf numFmtId="15" fontId="0" fillId="2" borderId="3" xfId="0" applyNumberFormat="1" applyFill="1" applyBorder="1" applyAlignment="1">
      <alignment horizontal="right" wrapText="1"/>
    </xf>
    <xf numFmtId="0" fontId="0" fillId="2" borderId="3" xfId="0" applyFill="1" applyBorder="1" applyAlignment="1">
      <alignment vertical="center"/>
    </xf>
    <xf numFmtId="15" fontId="0" fillId="2" borderId="3" xfId="0" applyNumberFormat="1" applyFill="1" applyBorder="1" applyAlignment="1">
      <alignment wrapText="1"/>
    </xf>
    <xf numFmtId="0" fontId="5" fillId="3" borderId="14" xfId="0" applyFont="1" applyFill="1" applyBorder="1" applyAlignment="1">
      <alignment wrapText="1"/>
    </xf>
    <xf numFmtId="0" fontId="5" fillId="3" borderId="15" xfId="0" applyFont="1" applyFill="1" applyBorder="1" applyAlignment="1">
      <alignment wrapText="1"/>
    </xf>
    <xf numFmtId="0" fontId="5" fillId="0" borderId="15" xfId="0" applyFont="1" applyBorder="1" applyAlignment="1">
      <alignment wrapText="1"/>
    </xf>
    <xf numFmtId="0" fontId="6" fillId="0" borderId="16" xfId="0" applyFont="1" applyBorder="1" applyAlignment="1">
      <alignment wrapText="1"/>
    </xf>
    <xf numFmtId="0" fontId="6" fillId="4" borderId="1" xfId="0" applyFont="1" applyFill="1" applyBorder="1" applyAlignment="1">
      <alignment wrapText="1"/>
    </xf>
    <xf numFmtId="0" fontId="6" fillId="5" borderId="2" xfId="0" applyFont="1" applyFill="1" applyBorder="1" applyAlignment="1">
      <alignment wrapText="1"/>
    </xf>
    <xf numFmtId="0" fontId="6" fillId="4" borderId="2" xfId="0" applyFont="1" applyFill="1" applyBorder="1" applyAlignment="1">
      <alignment wrapText="1"/>
    </xf>
    <xf numFmtId="0" fontId="6" fillId="3" borderId="2" xfId="0" applyFont="1" applyFill="1" applyBorder="1" applyAlignment="1">
      <alignment wrapText="1"/>
    </xf>
    <xf numFmtId="0" fontId="6" fillId="0" borderId="2" xfId="0" applyFont="1" applyBorder="1" applyAlignment="1">
      <alignment wrapText="1"/>
    </xf>
    <xf numFmtId="0" fontId="6" fillId="6" borderId="1" xfId="0" applyFont="1" applyFill="1" applyBorder="1" applyAlignment="1">
      <alignment wrapText="1"/>
    </xf>
    <xf numFmtId="0" fontId="6" fillId="6" borderId="2" xfId="0" applyFont="1" applyFill="1" applyBorder="1" applyAlignment="1">
      <alignment wrapText="1"/>
    </xf>
    <xf numFmtId="0" fontId="6" fillId="0" borderId="1" xfId="0" applyFont="1" applyBorder="1" applyAlignment="1">
      <alignment wrapText="1"/>
    </xf>
    <xf numFmtId="0" fontId="6" fillId="0" borderId="17" xfId="0" applyFont="1" applyBorder="1" applyAlignment="1">
      <alignment wrapText="1"/>
    </xf>
    <xf numFmtId="0" fontId="6" fillId="3" borderId="1" xfId="0" applyFont="1" applyFill="1" applyBorder="1" applyAlignment="1">
      <alignment wrapText="1"/>
    </xf>
    <xf numFmtId="3" fontId="0" fillId="0" borderId="0" xfId="0" applyNumberFormat="1"/>
    <xf numFmtId="3" fontId="6" fillId="4" borderId="2" xfId="0" applyNumberFormat="1" applyFont="1" applyFill="1" applyBorder="1" applyAlignment="1">
      <alignment horizontal="right" wrapText="1"/>
    </xf>
    <xf numFmtId="3" fontId="6" fillId="6" borderId="2" xfId="0" applyNumberFormat="1" applyFont="1" applyFill="1" applyBorder="1" applyAlignment="1">
      <alignment wrapText="1"/>
    </xf>
    <xf numFmtId="3" fontId="6" fillId="0" borderId="2" xfId="0" applyNumberFormat="1" applyFont="1" applyBorder="1" applyAlignment="1">
      <alignment horizontal="right" wrapText="1"/>
    </xf>
    <xf numFmtId="3" fontId="6" fillId="0" borderId="2" xfId="0" applyNumberFormat="1" applyFont="1" applyBorder="1" applyAlignment="1">
      <alignment wrapText="1"/>
    </xf>
    <xf numFmtId="3" fontId="6" fillId="3" borderId="2" xfId="0" applyNumberFormat="1" applyFont="1" applyFill="1" applyBorder="1" applyAlignment="1">
      <alignment wrapText="1"/>
    </xf>
    <xf numFmtId="3" fontId="6" fillId="0" borderId="18" xfId="0" applyNumberFormat="1" applyFont="1" applyBorder="1" applyAlignment="1">
      <alignment horizontal="right" wrapText="1"/>
    </xf>
    <xf numFmtId="3" fontId="6" fillId="5" borderId="2" xfId="0" applyNumberFormat="1" applyFont="1" applyFill="1" applyBorder="1" applyAlignment="1">
      <alignment horizontal="right" wrapText="1"/>
    </xf>
    <xf numFmtId="3" fontId="6" fillId="3" borderId="2" xfId="0" applyNumberFormat="1" applyFont="1" applyFill="1" applyBorder="1" applyAlignment="1">
      <alignment horizontal="right" wrapText="1"/>
    </xf>
    <xf numFmtId="3" fontId="6" fillId="0" borderId="16" xfId="0" applyNumberFormat="1" applyFont="1" applyBorder="1" applyAlignment="1">
      <alignment wrapText="1"/>
    </xf>
    <xf numFmtId="3" fontId="0" fillId="2" borderId="2" xfId="0" applyNumberFormat="1" applyFill="1" applyBorder="1" applyAlignment="1">
      <alignment horizontal="right" wrapText="1"/>
    </xf>
    <xf numFmtId="3" fontId="0" fillId="2" borderId="2" xfId="0" applyNumberFormat="1" applyFill="1" applyBorder="1" applyAlignment="1">
      <alignment wrapText="1"/>
    </xf>
    <xf numFmtId="3" fontId="0" fillId="0" borderId="2" xfId="0" applyNumberFormat="1" applyBorder="1" applyAlignment="1">
      <alignment wrapText="1"/>
    </xf>
    <xf numFmtId="3" fontId="0" fillId="0" borderId="3" xfId="0" applyNumberFormat="1" applyBorder="1" applyAlignment="1">
      <alignment wrapText="1"/>
    </xf>
    <xf numFmtId="3" fontId="0" fillId="2" borderId="3" xfId="0" applyNumberFormat="1" applyFill="1" applyBorder="1" applyAlignment="1">
      <alignment wrapText="1"/>
    </xf>
    <xf numFmtId="15" fontId="0" fillId="0" borderId="3" xfId="0" applyNumberFormat="1" applyBorder="1" applyAlignment="1">
      <alignment wrapText="1"/>
    </xf>
    <xf numFmtId="0" fontId="0" fillId="2" borderId="3" xfId="0" applyFill="1" applyBorder="1"/>
    <xf numFmtId="0" fontId="0" fillId="7" borderId="3" xfId="0" applyFill="1" applyBorder="1" applyAlignment="1">
      <alignment vertical="center" wrapText="1"/>
    </xf>
    <xf numFmtId="0" fontId="0" fillId="6" borderId="3" xfId="0" applyFill="1" applyBorder="1" applyAlignment="1">
      <alignment wrapText="1"/>
    </xf>
    <xf numFmtId="0" fontId="0" fillId="6" borderId="3" xfId="0" applyFill="1" applyBorder="1" applyAlignment="1">
      <alignment horizontal="right" wrapText="1"/>
    </xf>
    <xf numFmtId="0" fontId="0" fillId="6" borderId="3" xfId="0" applyFill="1" applyBorder="1" applyAlignment="1">
      <alignment horizontal="center" vertical="center" wrapText="1"/>
    </xf>
    <xf numFmtId="0" fontId="0" fillId="6" borderId="3" xfId="0" applyFill="1" applyBorder="1" applyAlignment="1">
      <alignment vertical="center" wrapText="1"/>
    </xf>
    <xf numFmtId="0" fontId="2" fillId="6" borderId="3" xfId="1" applyFill="1" applyBorder="1" applyAlignment="1">
      <alignment vertical="center" wrapText="1"/>
    </xf>
    <xf numFmtId="164" fontId="0" fillId="6" borderId="3" xfId="0" applyNumberFormat="1" applyFill="1" applyBorder="1" applyAlignment="1">
      <alignment horizontal="right" wrapText="1"/>
    </xf>
    <xf numFmtId="0" fontId="0" fillId="6" borderId="3" xfId="0" applyFill="1" applyBorder="1" applyAlignment="1">
      <alignment horizontal="center" wrapText="1"/>
    </xf>
    <xf numFmtId="15" fontId="0" fillId="6" borderId="3" xfId="0" applyNumberFormat="1" applyFill="1" applyBorder="1" applyAlignment="1">
      <alignment horizontal="right" wrapText="1"/>
    </xf>
    <xf numFmtId="0" fontId="0" fillId="6" borderId="3" xfId="0" applyFill="1" applyBorder="1" applyAlignment="1">
      <alignment vertical="center"/>
    </xf>
    <xf numFmtId="3" fontId="0" fillId="6" borderId="3" xfId="0" applyNumberFormat="1" applyFill="1" applyBorder="1" applyAlignment="1">
      <alignment wrapText="1"/>
    </xf>
    <xf numFmtId="0" fontId="0" fillId="6" borderId="3" xfId="0" applyFill="1" applyBorder="1"/>
    <xf numFmtId="0" fontId="2" fillId="0" borderId="3" xfId="1" applyBorder="1"/>
    <xf numFmtId="6" fontId="0" fillId="0" borderId="3" xfId="0" applyNumberFormat="1" applyBorder="1"/>
    <xf numFmtId="0" fontId="2" fillId="0" borderId="0" xfId="1" applyBorder="1"/>
    <xf numFmtId="6" fontId="0" fillId="0" borderId="0" xfId="0" applyNumberFormat="1"/>
    <xf numFmtId="164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8" borderId="0" xfId="0" applyFill="1"/>
    <xf numFmtId="0" fontId="0" fillId="8" borderId="5" xfId="0" applyFill="1" applyBorder="1" applyAlignment="1">
      <alignment wrapText="1"/>
    </xf>
    <xf numFmtId="0" fontId="0" fillId="8" borderId="6" xfId="0" applyFill="1" applyBorder="1" applyAlignment="1">
      <alignment horizontal="right" wrapText="1"/>
    </xf>
    <xf numFmtId="0" fontId="0" fillId="8" borderId="6" xfId="0" applyFill="1" applyBorder="1" applyAlignment="1">
      <alignment horizontal="center" vertical="center" wrapText="1"/>
    </xf>
    <xf numFmtId="0" fontId="0" fillId="8" borderId="6" xfId="0" applyFill="1" applyBorder="1" applyAlignment="1">
      <alignment wrapText="1"/>
    </xf>
    <xf numFmtId="0" fontId="0" fillId="8" borderId="6" xfId="0" applyFill="1" applyBorder="1" applyAlignment="1">
      <alignment vertical="center" wrapText="1"/>
    </xf>
    <xf numFmtId="164" fontId="0" fillId="8" borderId="6" xfId="0" applyNumberFormat="1" applyFill="1" applyBorder="1" applyAlignment="1">
      <alignment horizontal="right" wrapText="1"/>
    </xf>
    <xf numFmtId="0" fontId="0" fillId="8" borderId="6" xfId="0" applyFill="1" applyBorder="1" applyAlignment="1">
      <alignment horizontal="center" wrapText="1"/>
    </xf>
    <xf numFmtId="15" fontId="0" fillId="8" borderId="6" xfId="0" applyNumberFormat="1" applyFill="1" applyBorder="1" applyAlignment="1">
      <alignment horizontal="right" wrapText="1"/>
    </xf>
    <xf numFmtId="3" fontId="0" fillId="8" borderId="6" xfId="0" applyNumberFormat="1" applyFill="1" applyBorder="1" applyAlignment="1">
      <alignment wrapText="1"/>
    </xf>
    <xf numFmtId="0" fontId="0" fillId="8" borderId="7" xfId="0" applyFill="1" applyBorder="1" applyAlignment="1">
      <alignment wrapText="1"/>
    </xf>
    <xf numFmtId="0" fontId="0" fillId="8" borderId="8" xfId="0" applyFill="1" applyBorder="1"/>
    <xf numFmtId="0" fontId="0" fillId="2" borderId="9" xfId="0" applyFill="1" applyBorder="1" applyAlignment="1">
      <alignment wrapText="1"/>
    </xf>
    <xf numFmtId="0" fontId="0" fillId="2" borderId="10" xfId="0" applyFill="1" applyBorder="1" applyAlignment="1">
      <alignment horizontal="right" wrapText="1"/>
    </xf>
    <xf numFmtId="0" fontId="0" fillId="2" borderId="10" xfId="0" applyFill="1" applyBorder="1" applyAlignment="1">
      <alignment horizontal="center" vertical="center" wrapText="1"/>
    </xf>
    <xf numFmtId="0" fontId="0" fillId="2" borderId="10" xfId="0" applyFill="1" applyBorder="1" applyAlignment="1">
      <alignment wrapText="1"/>
    </xf>
    <xf numFmtId="0" fontId="0" fillId="2" borderId="10" xfId="0" applyFill="1" applyBorder="1" applyAlignment="1">
      <alignment vertical="center" wrapText="1"/>
    </xf>
    <xf numFmtId="164" fontId="0" fillId="2" borderId="10" xfId="0" applyNumberFormat="1" applyFill="1" applyBorder="1" applyAlignment="1">
      <alignment horizontal="right" wrapText="1"/>
    </xf>
    <xf numFmtId="164" fontId="0" fillId="2" borderId="11" xfId="0" applyNumberFormat="1" applyFill="1" applyBorder="1" applyAlignment="1">
      <alignment horizontal="right" wrapText="1"/>
    </xf>
    <xf numFmtId="0" fontId="0" fillId="2" borderId="10" xfId="0" applyFill="1" applyBorder="1" applyAlignment="1">
      <alignment horizontal="center" wrapText="1"/>
    </xf>
    <xf numFmtId="15" fontId="0" fillId="2" borderId="10" xfId="0" applyNumberFormat="1" applyFill="1" applyBorder="1" applyAlignment="1">
      <alignment horizontal="right" wrapText="1"/>
    </xf>
    <xf numFmtId="3" fontId="0" fillId="2" borderId="10" xfId="0" applyNumberFormat="1" applyFill="1" applyBorder="1" applyAlignment="1">
      <alignment wrapText="1"/>
    </xf>
    <xf numFmtId="15" fontId="0" fillId="2" borderId="10" xfId="0" applyNumberFormat="1" applyFill="1" applyBorder="1" applyAlignment="1">
      <alignment wrapText="1"/>
    </xf>
    <xf numFmtId="15" fontId="0" fillId="2" borderId="12" xfId="0" applyNumberFormat="1" applyFill="1" applyBorder="1" applyAlignment="1">
      <alignment wrapText="1"/>
    </xf>
    <xf numFmtId="0" fontId="0" fillId="9" borderId="0" xfId="0" applyFill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right" vertical="center" wrapText="1"/>
    </xf>
    <xf numFmtId="15" fontId="0" fillId="0" borderId="0" xfId="0" applyNumberFormat="1"/>
    <xf numFmtId="14" fontId="0" fillId="0" borderId="0" xfId="0" applyNumberFormat="1"/>
    <xf numFmtId="44" fontId="0" fillId="0" borderId="0" xfId="2" applyFont="1"/>
    <xf numFmtId="9" fontId="0" fillId="0" borderId="0" xfId="3" applyFont="1"/>
    <xf numFmtId="0" fontId="1" fillId="0" borderId="19" xfId="0" applyFont="1" applyBorder="1" applyAlignment="1">
      <alignment horizontal="center" vertical="center"/>
    </xf>
    <xf numFmtId="0" fontId="2" fillId="2" borderId="10" xfId="1" applyFill="1" applyBorder="1" applyAlignment="1">
      <alignment vertical="center" wrapText="1"/>
    </xf>
    <xf numFmtId="0" fontId="0" fillId="2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0" xfId="0" applyNumberFormat="1"/>
    <xf numFmtId="0" fontId="2" fillId="0" borderId="0" xfId="1" applyNumberFormat="1"/>
    <xf numFmtId="0" fontId="0" fillId="0" borderId="3" xfId="0" applyBorder="1" applyAlignment="1">
      <alignment horizontal="left" vertical="center"/>
    </xf>
    <xf numFmtId="3" fontId="0" fillId="0" borderId="3" xfId="0" applyNumberFormat="1" applyBorder="1" applyAlignment="1">
      <alignment horizontal="right" wrapText="1"/>
    </xf>
    <xf numFmtId="0" fontId="2" fillId="0" borderId="0" xfId="1"/>
    <xf numFmtId="0" fontId="0" fillId="7" borderId="0" xfId="0" applyFill="1" applyAlignment="1">
      <alignment wrapText="1"/>
    </xf>
    <xf numFmtId="0" fontId="8" fillId="10" borderId="20" xfId="0" applyFont="1" applyFill="1" applyBorder="1"/>
    <xf numFmtId="0" fontId="8" fillId="10" borderId="21" xfId="0" applyFont="1" applyFill="1" applyBorder="1"/>
    <xf numFmtId="0" fontId="8" fillId="10" borderId="22" xfId="0" applyFont="1" applyFill="1" applyBorder="1"/>
  </cellXfs>
  <cellStyles count="4">
    <cellStyle name="Hipervínculo" xfId="1" builtinId="8"/>
    <cellStyle name="Moneda" xfId="2" builtinId="4"/>
    <cellStyle name="Normal" xfId="0" builtinId="0"/>
    <cellStyle name="Porcentaje" xfId="3" builtinId="5"/>
  </cellStyles>
  <dxfs count="39">
    <dxf>
      <numFmt numFmtId="166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d\ &quot;de&quot;\ mmmm\ &quot;de&quot;\ yyyy"/>
    </dxf>
    <dxf>
      <numFmt numFmtId="0" formatCode="General"/>
    </dxf>
    <dxf>
      <numFmt numFmtId="166" formatCode="dd/mm/yyyy"/>
    </dxf>
    <dxf>
      <numFmt numFmtId="165" formatCode="dd\ &quot;de&quot;\ mmmm\ &quot;de&quot;\ yyyy"/>
    </dxf>
    <dxf>
      <numFmt numFmtId="165" formatCode="dd\ &quot;de&quot;\ mmmm\ &quot;de&quot;\ yyyy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  <dxf>
      <numFmt numFmtId="19" formatCode="d/mm/yyyy"/>
    </dxf>
    <dxf>
      <numFmt numFmtId="165" formatCode="dd\ &quot;de&quot;\ mmmm\ &quot;de&quot;\ yyyy"/>
    </dxf>
    <dxf>
      <numFmt numFmtId="165" formatCode="dd\ &quot;de&quot;\ mmmm\ &quot;de&quot;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Andres Castaneda Rodriguez" id="{C355505D-8190-4107-B0A4-EE2B05299371}" userId="S::daniel.castaneda@grupobios.co::772e866f-66a7-41b6-ba4a-519cb3046a4e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12" xr16:uid="{718C7C84-47DB-47B1-A4BF-4A5B1FA31B1A}" autoFormatId="16" applyNumberFormats="0" applyBorderFormats="0" applyFontFormats="0" applyPatternFormats="0" applyAlignmentFormats="0" applyWidthHeightFormats="0">
  <queryTableRefresh nextId="29">
    <queryTableFields count="28">
      <queryTableField id="1" name="No. CONTRATO" tableColumnId="1"/>
      <queryTableField id="2" name="ID CLIENTE" tableColumnId="2"/>
      <queryTableField id="3" name="MONTO" tableColumnId="3"/>
      <queryTableField id="4" name="VALOR PROYECTADO" tableColumnId="4"/>
      <queryTableField id="5" name="VALOR TEXTO" tableColumnId="5"/>
      <queryTableField id="6" name="HONORARIOS" tableColumnId="6"/>
      <queryTableField id="7" name="TASA" tableColumnId="7"/>
      <queryTableField id="8" name="FECHA DESEMBOLSO" tableColumnId="8"/>
      <queryTableField id="9" name="TERMINACIÓN" tableColumnId="9"/>
      <queryTableField id="10" name="LÍNEA DE CRÉDITO" tableColumnId="10"/>
      <queryTableField id="11" name="PAGO" tableColumnId="11"/>
      <queryTableField id="12" name="FECHA DE PAGO" tableColumnId="12"/>
      <queryTableField id="13" name="DETALLE DE PAGO" tableColumnId="13"/>
      <queryTableField id="14" name="FECHA DE FINALIZACIÓN OBLIGACIÓN" tableColumnId="14"/>
      <queryTableField id="15" name="INVERSIONISTA" tableColumnId="15"/>
      <queryTableField id="16" name="CODEUDOR" tableColumnId="16"/>
      <queryTableField id="17" name="ID CODEUDOR" tableColumnId="17"/>
      <queryTableField id="18" name="ESTADO CONTRATO" tableColumnId="18"/>
      <queryTableField id="19" name="JURIDICO" tableColumnId="19"/>
      <queryTableField id="20" name="Clientes.CLIENTE" tableColumnId="20"/>
      <queryTableField id="21" name="Clientes.IDENTIFICACIÓN" tableColumnId="21"/>
      <queryTableField id="22" name="Clientes.EXPEDICIÓN" tableColumnId="22"/>
      <queryTableField id="23" name="Clientes.DIRECCIÓN" tableColumnId="23"/>
      <queryTableField id="24" name="Clientes.BARRIO" tableColumnId="24"/>
      <queryTableField id="25" name="Clientes.CIUDAD" tableColumnId="25"/>
      <queryTableField id="26" name="Clientes.DEPARTAMENTO" tableColumnId="26"/>
      <queryTableField id="27" name="Clientes.TELÉFONO" tableColumnId="27"/>
      <queryTableField id="28" name="Clientes.E-MAIL" tableColumnId="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4DEDA326-2454-4DC1-A42E-600C2F7186A5}" autoFormatId="16" applyNumberFormats="0" applyBorderFormats="0" applyFontFormats="0" applyPatternFormats="0" applyAlignmentFormats="0" applyWidthHeightFormats="0">
  <queryTableRefresh nextId="9">
    <queryTableFields count="8">
      <queryTableField id="1" name="CONCEPTO" tableColumnId="1"/>
      <queryTableField id="2" name="FECHA" tableColumnId="2"/>
      <queryTableField id="3" name="DEBITO" tableColumnId="3"/>
      <queryTableField id="4" name="CREDITO" tableColumnId="4"/>
      <queryTableField id="5" name="SALDO" tableColumnId="5"/>
      <queryTableField id="6" name="REFERENCIA" tableColumnId="6"/>
      <queryTableField id="7" name="COMENTARIO" tableColumnId="7"/>
      <queryTableField id="8" name="MOTIVO" tableColumnId="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D4E4C5-3B1B-4174-8F40-C15430FCC8B1}" name="Clientes" displayName="Clientes" ref="A1:I105" totalsRowShown="0">
  <autoFilter ref="A1:I105" xr:uid="{A8D4E4C5-3B1B-4174-8F40-C15430FCC8B1}"/>
  <tableColumns count="9">
    <tableColumn id="1" xr3:uid="{6F71A88E-3583-4918-BE09-79AEA469CECC}" name="CLIENTE" dataDxfId="32">
      <calculatedColumnFormula>+_xlfn.XLOOKUP(Clientes[[#This Row],[IDENTIFICACIÓN]],PRÉSTAMOS!$B:$B,PRÉSTAMOS!A:A)</calculatedColumnFormula>
    </tableColumn>
    <tableColumn id="2" xr3:uid="{B7F6774F-E44E-4C5D-8BAC-BEA9B1771E97}" name="IDENTIFICACIÓN"/>
    <tableColumn id="3" xr3:uid="{4A0619FC-CB84-4458-81DB-1A77E4168058}" name="EXPEDICIÓN" dataDxfId="31">
      <calculatedColumnFormula>+IF(_xlfn.XLOOKUP(Clientes[[#This Row],[IDENTIFICACIÓN]],PRÉSTAMOS!$B:$B,PRÉSTAMOS!C:C,"")=0,"",_xlfn.XLOOKUP(Clientes[[#This Row],[IDENTIFICACIÓN]],PRÉSTAMOS!$B:$B,PRÉSTAMOS!C:C,""))</calculatedColumnFormula>
    </tableColumn>
    <tableColumn id="5" xr3:uid="{4DA169E5-ECBA-4D0C-9E48-1CB3BE474338}" name="DIRECCIÓN" dataDxfId="30">
      <calculatedColumnFormula>+IF(_xlfn.XLOOKUP(Clientes[[#This Row],[IDENTIFICACIÓN]],PRÉSTAMOS!$B:$B,PRÉSTAMOS!D:D,"")=0,"",_xlfn.XLOOKUP(Clientes[[#This Row],[IDENTIFICACIÓN]],PRÉSTAMOS!$B:$B,PRÉSTAMOS!D:D,""))</calculatedColumnFormula>
    </tableColumn>
    <tableColumn id="6" xr3:uid="{3BDE9DC7-8135-4191-817A-417C82ADBAC5}" name="BARRIO" dataDxfId="29">
      <calculatedColumnFormula>+IF(_xlfn.XLOOKUP(Clientes[[#This Row],[IDENTIFICACIÓN]],PRÉSTAMOS!$B:$B,PRÉSTAMOS!F:F,"")=0,"",_xlfn.XLOOKUP(Clientes[[#This Row],[IDENTIFICACIÓN]],PRÉSTAMOS!$B:$B,PRÉSTAMOS!F:F,""))</calculatedColumnFormula>
    </tableColumn>
    <tableColumn id="7" xr3:uid="{F8D30AA4-3C92-45A1-B618-20EAB1BE19DD}" name="CIUDAD" dataDxfId="28">
      <calculatedColumnFormula>+IF(_xlfn.XLOOKUP(Clientes[[#This Row],[IDENTIFICACIÓN]],PRÉSTAMOS!$B:$B,PRÉSTAMOS!G:G,"")=0,"",_xlfn.XLOOKUP(Clientes[[#This Row],[IDENTIFICACIÓN]],PRÉSTAMOS!$B:$B,PRÉSTAMOS!G:G,""))</calculatedColumnFormula>
    </tableColumn>
    <tableColumn id="8" xr3:uid="{0747577D-E72A-406D-90C1-F2C5FD22B1EC}" name="DEPARTAMENTO" dataDxfId="27">
      <calculatedColumnFormula>+IF(_xlfn.XLOOKUP(Clientes[[#This Row],[IDENTIFICACIÓN]],PRÉSTAMOS!$B:$B,PRÉSTAMOS!H:H,"")=0,"",_xlfn.XLOOKUP(Clientes[[#This Row],[IDENTIFICACIÓN]],PRÉSTAMOS!$B:$B,PRÉSTAMOS!H:H,""))</calculatedColumnFormula>
    </tableColumn>
    <tableColumn id="9" xr3:uid="{D94A7583-5662-4AFD-96E0-73A4934D43C8}" name="TELÉFONO" dataDxfId="26">
      <calculatedColumnFormula>+IF(_xlfn.XLOOKUP(Clientes[[#This Row],[IDENTIFICACIÓN]],PRÉSTAMOS!$B:$B,PRÉSTAMOS!I:I,"")=0,"",_xlfn.XLOOKUP(Clientes[[#This Row],[IDENTIFICACIÓN]],PRÉSTAMOS!$B:$B,PRÉSTAMOS!I:I,""))</calculatedColumnFormula>
    </tableColumn>
    <tableColumn id="10" xr3:uid="{962F319F-EEC1-4BAD-A47C-2E15684DFDCB}" name="E-MAIL" dataDxfId="25">
      <calculatedColumnFormula>+IF(_xlfn.XLOOKUP(Clientes[[#This Row],[IDENTIFICACIÓN]],PRÉSTAMOS!$B:$B,PRÉSTAMOS!J:J,"")=0,"",_xlfn.XLOOKUP(Clientes[[#This Row],[IDENTIFICACIÓN]],PRÉSTAMOS!$B:$B,PRÉSTAMOS!J:J,""))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1C1242-6869-49A9-8D3F-FF420A5B7916}" name="Contratos" displayName="Contratos" ref="A1:S122" totalsRowShown="0">
  <autoFilter ref="A1:S122" xr:uid="{2A1C1242-6869-49A9-8D3F-FF420A5B7916}">
    <filterColumn colId="12">
      <filters blank="1">
        <filter val="#N/D"/>
        <filter val="cuota 1"/>
        <filter val="Pago cuota # 2/6"/>
        <filter val="PAGO TOTA."/>
      </filters>
    </filterColumn>
  </autoFilter>
  <tableColumns count="19">
    <tableColumn id="1" xr3:uid="{D69A7986-976D-48EA-8ABF-937BCFA418DE}" name="No. CONTRATO"/>
    <tableColumn id="2" xr3:uid="{069D79A2-3DA3-4EB7-B73D-C0E1926B1036}" name="ID CLIENTE">
      <calculatedColumnFormula>+_xlfn.XLOOKUP($A2,PRÉSTAMOS!$D:$D,PRÉSTAMOS!B:B)</calculatedColumnFormula>
    </tableColumn>
    <tableColumn id="3" xr3:uid="{35439D62-3E38-458E-AF53-C784364EC60C}" name="MONTO" dataCellStyle="Moneda">
      <calculatedColumnFormula>+_xlfn.XLOOKUP($A2,PRÉSTAMOS!$D:$D,PRÉSTAMOS!K:K)</calculatedColumnFormula>
    </tableColumn>
    <tableColumn id="4" xr3:uid="{0244746A-59F7-4A7F-97E9-67ABD8838BA9}" name="VALOR PROYECTADO" dataDxfId="24" dataCellStyle="Moneda">
      <calculatedColumnFormula array="1">+ValorProyectado_Aritmetico(C2,0.13,3)</calculatedColumnFormula>
    </tableColumn>
    <tableColumn id="5" xr3:uid="{3B948B77-EF94-4B9F-A999-45CD5726FE7E}" name="VALOR TEXTO">
      <calculatedColumnFormula array="1">+CONVERTIRNUM(D2)</calculatedColumnFormula>
    </tableColumn>
    <tableColumn id="6" xr3:uid="{204BBF6D-3DC0-4839-99A4-0F6ACD945DFB}" name="HONORARIOS" dataCellStyle="Moneda">
      <calculatedColumnFormula array="1">+Honorarios(D2,0.13)</calculatedColumnFormula>
    </tableColumn>
    <tableColumn id="7" xr3:uid="{569C2356-CA2B-4B44-BCF4-7AD609E485CE}" name="TASA" dataCellStyle="Porcentaje">
      <calculatedColumnFormula>+_xlfn.XLOOKUP($A2,PRÉSTAMOS!$D:$D,PRÉSTAMOS!P:P)/100</calculatedColumnFormula>
    </tableColumn>
    <tableColumn id="8" xr3:uid="{E40390AE-6933-4064-9789-DF0DA184B6D2}" name="FECHA DESEMBOLSO" dataDxfId="23">
      <calculatedColumnFormula>+_xlfn.XLOOKUP($A2,PRÉSTAMOS!$D:$D,PRÉSTAMOS!Q:Q)</calculatedColumnFormula>
    </tableColumn>
    <tableColumn id="9" xr3:uid="{BC75399B-1EDF-426F-A42F-0471C7A441D7}" name="TERMINACIÓN" dataDxfId="22">
      <calculatedColumnFormula>+DATE(YEAR(Contratos[[#This Row],[FECHA DESEMBOLSO]]),MONTH(Contratos[[#This Row],[FECHA DESEMBOLSO]])+3,DAY(Contratos[[#This Row],[FECHA DESEMBOLSO]]))</calculatedColumnFormula>
    </tableColumn>
    <tableColumn id="10" xr3:uid="{CCEE499A-870C-4286-BC6B-7ED26AD48F5E}" name="LÍNEA DE CRÉDITO">
      <calculatedColumnFormula>+_xlfn.XLOOKUP($A2,PRÉSTAMOS!$D:$D,PRÉSTAMOS!S:S)</calculatedColumnFormula>
    </tableColumn>
    <tableColumn id="11" xr3:uid="{F63C9E49-68F1-4676-B2B1-B8BE504E81C2}" name="PAGO" dataCellStyle="Moneda">
      <calculatedColumnFormula>+IFERROR(_xlfn.XLOOKUP(Contratos[[#This Row],[No. CONTRATO]],CajaTotal[REFERENCIA],CajaTotal[DEBITO]),0)</calculatedColumnFormula>
    </tableColumn>
    <tableColumn id="12" xr3:uid="{3628084F-F33A-4230-8D4E-3CC0029A73CA}" name="FECHA DE PAGO" dataDxfId="21">
      <calculatedColumnFormula array="1">+IFERROR(MAX(_xlfn._xlws.FILTER(CajaTotal[FECHA],CajaTotal[REFERENCIA]=Contratos[[#This Row],[No. CONTRATO]])),"")</calculatedColumnFormula>
    </tableColumn>
    <tableColumn id="13" xr3:uid="{B78ED4AC-783F-42CF-8F89-9D389B31EFFA}" name="DETALLE DE PAGO" dataDxfId="20">
      <calculatedColumnFormula>+IF(_xlfn.XLOOKUP($A2,PRÉSTAMOS!$D:$D,PRÉSTAMOS!V:V)=0,"",_xlfn.XLOOKUP($A2,PRÉSTAMOS!$D:$D,PRÉSTAMOS!V:V))</calculatedColumnFormula>
    </tableColumn>
    <tableColumn id="14" xr3:uid="{C68FC344-D8D1-4499-9AB8-4D8199499D24}" name="FECHA DE FINALIZACIÓN OBLIGACIÓN" dataDxfId="19">
      <calculatedColumnFormula>+IF(_xlfn.XLOOKUP($A2,PRÉSTAMOS!$D:$D,PRÉSTAMOS!W:W)=0,"",_xlfn.XLOOKUP($A2,PRÉSTAMOS!$D:$D,PRÉSTAMOS!W:W))</calculatedColumnFormula>
    </tableColumn>
    <tableColumn id="15" xr3:uid="{4C6A971E-DD24-499E-BF6A-A280432329EA}" name="INVERSIONISTA">
      <calculatedColumnFormula>+IF(_xlfn.XLOOKUP($A2,PRÉSTAMOS!$D:$D,PRÉSTAMOS!X:X)=0,"",_xlfn.XLOOKUP($A2,PRÉSTAMOS!$D:$D,PRÉSTAMOS!X:X))</calculatedColumnFormula>
    </tableColumn>
    <tableColumn id="16" xr3:uid="{394B1E8D-1FBC-4A7E-B5CE-5BC2A67CCAB7}" name="CODEUDOR"/>
    <tableColumn id="17" xr3:uid="{DDF1FCA0-1692-4D09-8380-1BCDAA929C39}" name="ID CODEUDOR"/>
    <tableColumn id="18" xr3:uid="{917DEE43-DBB3-48F9-8A7B-C278FE1172B0}" name="ESTADO CONTRATO" dataDxfId="18">
      <calculatedColumnFormula>+IF(Contratos[[#This Row],[JURIDICO]]=1,"PROCESO JURIDICO",IF(I2&lt;TODAY(),"VENCIDO","ACTIVO"))</calculatedColumnFormula>
    </tableColumn>
    <tableColumn id="19" xr3:uid="{9EA89FFD-3727-459B-A6E2-39FE614E5332}" name="JURIDIC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64083B-BA5D-40CD-BED7-92A08E143921}" name="Visual_para_Combinacion" displayName="Visual_para_Combinacion" ref="A1:AB121" tableType="queryTable" totalsRowShown="0">
  <autoFilter ref="A1:AB121" xr:uid="{6A64083B-BA5D-40CD-BED7-92A08E143921}"/>
  <tableColumns count="28">
    <tableColumn id="1" xr3:uid="{1592AEA8-E88B-47A9-9529-B752DDAD5617}" uniqueName="1" name="No. CONTRATO" queryTableFieldId="1"/>
    <tableColumn id="2" xr3:uid="{0538881E-4103-4385-8E23-580482BA2FD0}" uniqueName="2" name="ID CLIENTE" queryTableFieldId="2"/>
    <tableColumn id="3" xr3:uid="{B7275960-D1E5-4C02-80B8-D525CBC8F339}" uniqueName="3" name="MONTO" queryTableFieldId="3"/>
    <tableColumn id="4" xr3:uid="{2BD36C5E-7285-474D-8538-6FE5AFB73496}" uniqueName="4" name="VALOR PROYECTADO" queryTableFieldId="4"/>
    <tableColumn id="5" xr3:uid="{8A22594B-D873-4763-B5D0-02864AFC4912}" uniqueName="5" name="VALOR TEXTO" queryTableFieldId="5" dataDxfId="17"/>
    <tableColumn id="6" xr3:uid="{DE2C22BF-5532-4DA4-AB37-A9AC5AB96637}" uniqueName="6" name="HONORARIOS" queryTableFieldId="6"/>
    <tableColumn id="7" xr3:uid="{51F69CF3-8445-4011-A364-A19F30283E19}" uniqueName="7" name="TASA" queryTableFieldId="7"/>
    <tableColumn id="8" xr3:uid="{9567A82B-3D84-430B-8391-00CE8DAF89F5}" uniqueName="8" name="FECHA DESEMBOLSO" queryTableFieldId="8" dataDxfId="16"/>
    <tableColumn id="9" xr3:uid="{6F86FE9D-67D8-40F0-BCD5-F18A5113B961}" uniqueName="9" name="TERMINACIÓN" queryTableFieldId="9" dataDxfId="15"/>
    <tableColumn id="10" xr3:uid="{DA813134-B4F5-4CFE-A016-759F5776B9CD}" uniqueName="10" name="LÍNEA DE CRÉDITO" queryTableFieldId="10"/>
    <tableColumn id="11" xr3:uid="{E40217BC-94F3-409F-BDC1-580ABA5266A4}" uniqueName="11" name="PAGO" queryTableFieldId="11"/>
    <tableColumn id="12" xr3:uid="{EF632992-CC11-47CE-8EC2-745FB8E6AC1F}" uniqueName="12" name="FECHA DE PAGO" queryTableFieldId="12" dataDxfId="14"/>
    <tableColumn id="13" xr3:uid="{C9AB5527-0607-45AB-B4AA-663A74136670}" uniqueName="13" name="DETALLE DE PAGO" queryTableFieldId="13" dataDxfId="13"/>
    <tableColumn id="14" xr3:uid="{9EC9EAC5-3FD3-4269-B197-8B10EE008C88}" uniqueName="14" name="FECHA DE FINALIZACIÓN OBLIGACIÓN" queryTableFieldId="14" dataDxfId="12"/>
    <tableColumn id="15" xr3:uid="{A2FFBC12-6B52-439F-8217-543CB05D981F}" uniqueName="15" name="INVERSIONISTA" queryTableFieldId="15" dataDxfId="11"/>
    <tableColumn id="16" xr3:uid="{65F51F42-B0B4-4C9C-AE8B-B352E5B8196F}" uniqueName="16" name="CODEUDOR" queryTableFieldId="16" dataDxfId="10"/>
    <tableColumn id="17" xr3:uid="{4E6772F3-3C79-4207-A4F2-37FB94C2716E}" uniqueName="17" name="ID CODEUDOR" queryTableFieldId="17"/>
    <tableColumn id="18" xr3:uid="{5C94AA19-FF87-40C1-A14A-040E741FFC7C}" uniqueName="18" name="ESTADO CONTRATO" queryTableFieldId="18" dataDxfId="9"/>
    <tableColumn id="19" xr3:uid="{2AD992A2-9355-486D-9E51-15481129C3A6}" uniqueName="19" name="JURIDICO" queryTableFieldId="19"/>
    <tableColumn id="20" xr3:uid="{485E147B-DE29-4FA1-87A0-7DBE5F9F98AF}" uniqueName="20" name="Clientes.CLIENTE" queryTableFieldId="20" dataDxfId="8"/>
    <tableColumn id="21" xr3:uid="{1ADAF635-CA10-428D-8DA9-915358F5A5BE}" uniqueName="21" name="Clientes.IDENTIFICACIÓN" queryTableFieldId="21"/>
    <tableColumn id="22" xr3:uid="{18C4B8F3-367E-46BA-882B-B5F4A858724F}" uniqueName="22" name="Clientes.EXPEDICIÓN" queryTableFieldId="22" dataDxfId="7"/>
    <tableColumn id="23" xr3:uid="{09B2CDF1-6920-4A84-B0F9-A775AAA67CC3}" uniqueName="23" name="Clientes.DIRECCIÓN" queryTableFieldId="23" dataDxfId="6"/>
    <tableColumn id="24" xr3:uid="{07345391-8579-4E0E-BE29-38DF82390515}" uniqueName="24" name="Clientes.BARRIO" queryTableFieldId="24" dataDxfId="5"/>
    <tableColumn id="25" xr3:uid="{28E7AEDE-10EE-46B8-B5B4-BF23B2D0476E}" uniqueName="25" name="Clientes.CIUDAD" queryTableFieldId="25" dataDxfId="4"/>
    <tableColumn id="26" xr3:uid="{D33D5065-E686-4E85-B9F0-A3B231DF1B8A}" uniqueName="26" name="Clientes.DEPARTAMENTO" queryTableFieldId="26" dataDxfId="3"/>
    <tableColumn id="27" xr3:uid="{7CE6F820-626E-44FA-958A-354BC7BA98E4}" uniqueName="27" name="Clientes.TELÉFONO" queryTableFieldId="27"/>
    <tableColumn id="28" xr3:uid="{B75BFB3B-F479-441C-93FA-C63853D3FB4A}" uniqueName="28" name="Clientes.E-MAIL" queryTableFieldId="28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B87C9-3E9B-427F-886E-669C6D9FD2FA}" name="CajaTotal" displayName="CajaTotal" ref="A1:H412" tableType="queryTable" totalsRowShown="0">
  <autoFilter ref="A1:H412" xr:uid="{8B8B87C9-3E9B-427F-886E-669C6D9FD2FA}"/>
  <tableColumns count="8">
    <tableColumn id="1" xr3:uid="{E8ACBC5C-0803-48CE-A67A-422A8A18C6E5}" uniqueName="1" name="CONCEPTO" queryTableFieldId="1" dataDxfId="1"/>
    <tableColumn id="2" xr3:uid="{FB63F5A7-38EB-41FC-9CFE-97668354AF07}" uniqueName="2" name="FECHA" queryTableFieldId="2" dataDxfId="0"/>
    <tableColumn id="3" xr3:uid="{6DCAEA71-28D2-4EB2-A72D-A615BCED6AD0}" uniqueName="3" name="DEBITO" queryTableFieldId="3"/>
    <tableColumn id="4" xr3:uid="{23C6D456-F604-4430-BA8E-1DE18C24075A}" uniqueName="4" name="CREDITO" queryTableFieldId="4"/>
    <tableColumn id="5" xr3:uid="{446012AC-DE40-447B-B21B-69D768D96C2D}" uniqueName="5" name="SALDO" queryTableFieldId="5"/>
    <tableColumn id="6" xr3:uid="{D81433BE-8F44-4FC0-BA5B-72B10F5A8B49}" uniqueName="6" name="REFERENCIA" queryTableFieldId="6"/>
    <tableColumn id="7" xr3:uid="{E9AA0487-566B-4B91-8C6C-B22524ED97F9}" uniqueName="7" name="COMENTARIO" queryTableFieldId="7"/>
    <tableColumn id="8" xr3:uid="{1D1FF000-36A6-42B1-97B4-D32D29AC2E53}" uniqueName="8" name="MOTIVO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4" dT="2023-08-28T21:17:54.55" personId="{C355505D-8190-4107-B0A4-EE2B05299371}" id="{6A625D76-3838-4D50-A993-69B904BD50B5}">
    <text>En caja aparece una transacción de CARLOS GERARDO por 2,260,000</text>
  </threadedComment>
</ThreadedComment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marlenyvsulp@gmail.com" TargetMode="External"/><Relationship Id="rId21" Type="http://schemas.openxmlformats.org/officeDocument/2006/relationships/hyperlink" Target="mailto:arenasluzdary60@gmail.com" TargetMode="External"/><Relationship Id="rId42" Type="http://schemas.openxmlformats.org/officeDocument/2006/relationships/hyperlink" Target="mailto:monajoka12@gmail.com" TargetMode="External"/><Relationship Id="rId47" Type="http://schemas.openxmlformats.org/officeDocument/2006/relationships/hyperlink" Target="mailto:monajoka12@gmail.com" TargetMode="External"/><Relationship Id="rId63" Type="http://schemas.openxmlformats.org/officeDocument/2006/relationships/hyperlink" Target="mailto:hectororozcopereira@gmail.com" TargetMode="External"/><Relationship Id="rId68" Type="http://schemas.openxmlformats.org/officeDocument/2006/relationships/hyperlink" Target="mailto:humadu24@gmail.com" TargetMode="External"/><Relationship Id="rId84" Type="http://schemas.openxmlformats.org/officeDocument/2006/relationships/hyperlink" Target="mailto:marialigiatorogarcia7@gmail.com" TargetMode="External"/><Relationship Id="rId89" Type="http://schemas.openxmlformats.org/officeDocument/2006/relationships/comments" Target="../comments1.xml"/><Relationship Id="rId16" Type="http://schemas.openxmlformats.org/officeDocument/2006/relationships/hyperlink" Target="mailto:puertaomarantonio@gmail.com" TargetMode="External"/><Relationship Id="rId11" Type="http://schemas.openxmlformats.org/officeDocument/2006/relationships/hyperlink" Target="mailto:joalejo.linaso@gmail.com" TargetMode="External"/><Relationship Id="rId32" Type="http://schemas.openxmlformats.org/officeDocument/2006/relationships/hyperlink" Target="mailto:jaimepereira2022@hotmail.com" TargetMode="External"/><Relationship Id="rId37" Type="http://schemas.openxmlformats.org/officeDocument/2006/relationships/hyperlink" Target="mailto:andrea.velez2678@gmail.com" TargetMode="External"/><Relationship Id="rId53" Type="http://schemas.openxmlformats.org/officeDocument/2006/relationships/hyperlink" Target="mailto:acalle6701@hotmail.com" TargetMode="External"/><Relationship Id="rId58" Type="http://schemas.openxmlformats.org/officeDocument/2006/relationships/hyperlink" Target="mailto:boteroalfonoso830@gmail.com" TargetMode="External"/><Relationship Id="rId74" Type="http://schemas.openxmlformats.org/officeDocument/2006/relationships/hyperlink" Target="mailto:melbismosquera1938@gmail.com" TargetMode="External"/><Relationship Id="rId79" Type="http://schemas.openxmlformats.org/officeDocument/2006/relationships/hyperlink" Target="mailto:marisali8900@gmail.com" TargetMode="External"/><Relationship Id="rId5" Type="http://schemas.openxmlformats.org/officeDocument/2006/relationships/hyperlink" Target="mailto:puertaomarantonio@gmail.com" TargetMode="External"/><Relationship Id="rId90" Type="http://schemas.microsoft.com/office/2017/10/relationships/threadedComment" Target="../threadedComments/threadedComment1.xml"/><Relationship Id="rId14" Type="http://schemas.openxmlformats.org/officeDocument/2006/relationships/hyperlink" Target="mailto:reinaldogilgallego01@gmail.com" TargetMode="External"/><Relationship Id="rId22" Type="http://schemas.openxmlformats.org/officeDocument/2006/relationships/hyperlink" Target="mailto:torresjohan609@gmail.com" TargetMode="External"/><Relationship Id="rId27" Type="http://schemas.openxmlformats.org/officeDocument/2006/relationships/hyperlink" Target="mailto:jose.sanchez1602@casur.gov.co" TargetMode="External"/><Relationship Id="rId30" Type="http://schemas.openxmlformats.org/officeDocument/2006/relationships/hyperlink" Target="mailto:daniela17072000@gmail.com" TargetMode="External"/><Relationship Id="rId35" Type="http://schemas.openxmlformats.org/officeDocument/2006/relationships/hyperlink" Target="mailto:mariovalenciasepulveda@gmail.com" TargetMode="External"/><Relationship Id="rId43" Type="http://schemas.openxmlformats.org/officeDocument/2006/relationships/hyperlink" Target="mailto:rioscastroarcangel@gmail.com" TargetMode="External"/><Relationship Id="rId48" Type="http://schemas.openxmlformats.org/officeDocument/2006/relationships/hyperlink" Target="mailto:fabioduquev@gmail.com" TargetMode="External"/><Relationship Id="rId56" Type="http://schemas.openxmlformats.org/officeDocument/2006/relationships/hyperlink" Target="mailto:grancombo05@gmail.com" TargetMode="External"/><Relationship Id="rId64" Type="http://schemas.openxmlformats.org/officeDocument/2006/relationships/hyperlink" Target="mailto:jsbetojr@gmail.com" TargetMode="External"/><Relationship Id="rId69" Type="http://schemas.openxmlformats.org/officeDocument/2006/relationships/hyperlink" Target="mailto:hector1023lopez1972@hotmail.com" TargetMode="External"/><Relationship Id="rId77" Type="http://schemas.openxmlformats.org/officeDocument/2006/relationships/hyperlink" Target="mailto:alejozapata1990@gmail.com" TargetMode="External"/><Relationship Id="rId8" Type="http://schemas.openxmlformats.org/officeDocument/2006/relationships/hyperlink" Target="mailto:carlvidal524@gmail.com" TargetMode="External"/><Relationship Id="rId51" Type="http://schemas.openxmlformats.org/officeDocument/2006/relationships/hyperlink" Target="mailto:alvarocambindo09@gmail.com" TargetMode="External"/><Relationship Id="rId72" Type="http://schemas.openxmlformats.org/officeDocument/2006/relationships/hyperlink" Target="mailto:cano75yohnier@hotmail.com" TargetMode="External"/><Relationship Id="rId80" Type="http://schemas.openxmlformats.org/officeDocument/2006/relationships/hyperlink" Target="mailto:vivi071285@hotmail.com" TargetMode="External"/><Relationship Id="rId85" Type="http://schemas.openxmlformats.org/officeDocument/2006/relationships/hyperlink" Target="mailto:seiderhenao@gmail.com" TargetMode="External"/><Relationship Id="rId3" Type="http://schemas.openxmlformats.org/officeDocument/2006/relationships/hyperlink" Target="mailto:acarloscardona@gmail.com" TargetMode="External"/><Relationship Id="rId12" Type="http://schemas.openxmlformats.org/officeDocument/2006/relationships/hyperlink" Target="mailto:uvermusse40@gmail.com" TargetMode="External"/><Relationship Id="rId17" Type="http://schemas.openxmlformats.org/officeDocument/2006/relationships/hyperlink" Target="mailto:jose.sanchez1602@casur.gov.co" TargetMode="External"/><Relationship Id="rId25" Type="http://schemas.openxmlformats.org/officeDocument/2006/relationships/hyperlink" Target="mailto:arenasluzdary60@gmail.com" TargetMode="External"/><Relationship Id="rId33" Type="http://schemas.openxmlformats.org/officeDocument/2006/relationships/hyperlink" Target="mailto:marlenyvsulp@gmail.com" TargetMode="External"/><Relationship Id="rId38" Type="http://schemas.openxmlformats.org/officeDocument/2006/relationships/hyperlink" Target="mailto:ofranciscoeladio@gmail.com" TargetMode="External"/><Relationship Id="rId46" Type="http://schemas.openxmlformats.org/officeDocument/2006/relationships/hyperlink" Target="mailto:paolaann@hotmail.com" TargetMode="External"/><Relationship Id="rId59" Type="http://schemas.openxmlformats.org/officeDocument/2006/relationships/hyperlink" Target="mailto:henaomariarosalba@gmail.com" TargetMode="External"/><Relationship Id="rId67" Type="http://schemas.openxmlformats.org/officeDocument/2006/relationships/hyperlink" Target="mailto:rentamosinmobiliaria@gmail.com" TargetMode="External"/><Relationship Id="rId20" Type="http://schemas.openxmlformats.org/officeDocument/2006/relationships/hyperlink" Target="mailto:sincorreo@sincorreo" TargetMode="External"/><Relationship Id="rId41" Type="http://schemas.openxmlformats.org/officeDocument/2006/relationships/hyperlink" Target="mailto:juandejesusosorio127@gmail.com" TargetMode="External"/><Relationship Id="rId54" Type="http://schemas.openxmlformats.org/officeDocument/2006/relationships/hyperlink" Target="mailto:alvaroperezpereira2023@gmail.com" TargetMode="External"/><Relationship Id="rId62" Type="http://schemas.openxmlformats.org/officeDocument/2006/relationships/hyperlink" Target="mailto:alvaroperezpereira2023@gmail.com" TargetMode="External"/><Relationship Id="rId70" Type="http://schemas.openxmlformats.org/officeDocument/2006/relationships/hyperlink" Target="mailto:gomezfernandezalejandro269@gmail.com" TargetMode="External"/><Relationship Id="rId75" Type="http://schemas.openxmlformats.org/officeDocument/2006/relationships/hyperlink" Target="mailto:marthang0216@gmail.com" TargetMode="External"/><Relationship Id="rId83" Type="http://schemas.openxmlformats.org/officeDocument/2006/relationships/hyperlink" Target="mailto:rafael.mu&#241;oz061074@gmail.com" TargetMode="External"/><Relationship Id="rId88" Type="http://schemas.openxmlformats.org/officeDocument/2006/relationships/vmlDrawing" Target="../drawings/vmlDrawing1.vml"/><Relationship Id="rId1" Type="http://schemas.openxmlformats.org/officeDocument/2006/relationships/hyperlink" Target="mailto:juandejesusosorio127@gmail.com" TargetMode="External"/><Relationship Id="rId6" Type="http://schemas.openxmlformats.org/officeDocument/2006/relationships/hyperlink" Target="mailto:puertaomarantonio@gmail.com" TargetMode="External"/><Relationship Id="rId15" Type="http://schemas.openxmlformats.org/officeDocument/2006/relationships/hyperlink" Target="mailto:seider-088@hotmail.com" TargetMode="External"/><Relationship Id="rId23" Type="http://schemas.openxmlformats.org/officeDocument/2006/relationships/hyperlink" Target="mailto:torresjohan609@gmail.com" TargetMode="External"/><Relationship Id="rId28" Type="http://schemas.openxmlformats.org/officeDocument/2006/relationships/hyperlink" Target="mailto:josearlespulgarin39@gmail.com" TargetMode="External"/><Relationship Id="rId36" Type="http://schemas.openxmlformats.org/officeDocument/2006/relationships/hyperlink" Target="mailto:josecamilo911@gmail.com" TargetMode="External"/><Relationship Id="rId49" Type="http://schemas.openxmlformats.org/officeDocument/2006/relationships/hyperlink" Target="mailto:consuelito0459@hotmail.com" TargetMode="External"/><Relationship Id="rId57" Type="http://schemas.openxmlformats.org/officeDocument/2006/relationships/hyperlink" Target="mailto:josearlespulgarin39@gmail.com" TargetMode="External"/><Relationship Id="rId10" Type="http://schemas.openxmlformats.org/officeDocument/2006/relationships/hyperlink" Target="mailto:jose.sanchez1602@casur.gov.co" TargetMode="External"/><Relationship Id="rId31" Type="http://schemas.openxmlformats.org/officeDocument/2006/relationships/hyperlink" Target="mailto:walter.blandon@yahoo.es" TargetMode="External"/><Relationship Id="rId44" Type="http://schemas.openxmlformats.org/officeDocument/2006/relationships/hyperlink" Target="mailto:jaimeramirezospina133@gmail.com" TargetMode="External"/><Relationship Id="rId52" Type="http://schemas.openxmlformats.org/officeDocument/2006/relationships/hyperlink" Target="mailto:josecamilo911@gmail.com" TargetMode="External"/><Relationship Id="rId60" Type="http://schemas.openxmlformats.org/officeDocument/2006/relationships/hyperlink" Target="mailto:nelsonhinchima123@gmail.com" TargetMode="External"/><Relationship Id="rId65" Type="http://schemas.openxmlformats.org/officeDocument/2006/relationships/hyperlink" Target="mailto:fabioduquev@gmail.com" TargetMode="External"/><Relationship Id="rId73" Type="http://schemas.openxmlformats.org/officeDocument/2006/relationships/hyperlink" Target="mailto:mariafidelinasanchez25@gmail.com" TargetMode="External"/><Relationship Id="rId78" Type="http://schemas.openxmlformats.org/officeDocument/2006/relationships/hyperlink" Target="mailto:pedritonel0705@hotmail.com" TargetMode="External"/><Relationship Id="rId81" Type="http://schemas.openxmlformats.org/officeDocument/2006/relationships/hyperlink" Target="mailto:henaomariarosalba@gmail.com" TargetMode="External"/><Relationship Id="rId86" Type="http://schemas.openxmlformats.org/officeDocument/2006/relationships/hyperlink" Target="mailto:acalle6701@hotmail.com" TargetMode="External"/><Relationship Id="rId4" Type="http://schemas.openxmlformats.org/officeDocument/2006/relationships/hyperlink" Target="mailto:XXXXXXX@gmail.com" TargetMode="External"/><Relationship Id="rId9" Type="http://schemas.openxmlformats.org/officeDocument/2006/relationships/hyperlink" Target="mailto:merardo.garcia175@casur.gov.co" TargetMode="External"/><Relationship Id="rId13" Type="http://schemas.openxmlformats.org/officeDocument/2006/relationships/hyperlink" Target="mailto:arenasluzdary60@gmail.com" TargetMode="External"/><Relationship Id="rId18" Type="http://schemas.openxmlformats.org/officeDocument/2006/relationships/hyperlink" Target="mailto:bedouthrxn@hotmail.com" TargetMode="External"/><Relationship Id="rId39" Type="http://schemas.openxmlformats.org/officeDocument/2006/relationships/hyperlink" Target="mailto:claudia.ladino@hotmail.com" TargetMode="External"/><Relationship Id="rId34" Type="http://schemas.openxmlformats.org/officeDocument/2006/relationships/hyperlink" Target="mailto:ofranciscoeladio@gmail.com" TargetMode="External"/><Relationship Id="rId50" Type="http://schemas.openxmlformats.org/officeDocument/2006/relationships/hyperlink" Target="mailto:hector1023lopez1972@gmail.com" TargetMode="External"/><Relationship Id="rId55" Type="http://schemas.openxmlformats.org/officeDocument/2006/relationships/hyperlink" Target="mailto:juandavidelpatron2020@gmail.com" TargetMode="External"/><Relationship Id="rId76" Type="http://schemas.openxmlformats.org/officeDocument/2006/relationships/hyperlink" Target="mailto:memogloriosocali@hotmail.com" TargetMode="External"/><Relationship Id="rId7" Type="http://schemas.openxmlformats.org/officeDocument/2006/relationships/hyperlink" Target="mailto:jflv536@gmail.com" TargetMode="External"/><Relationship Id="rId71" Type="http://schemas.openxmlformats.org/officeDocument/2006/relationships/hyperlink" Target="mailto:marialigiatorogarcia7@gmail.com" TargetMode="External"/><Relationship Id="rId2" Type="http://schemas.openxmlformats.org/officeDocument/2006/relationships/hyperlink" Target="mailto:cagegar@gmail.com" TargetMode="External"/><Relationship Id="rId29" Type="http://schemas.openxmlformats.org/officeDocument/2006/relationships/hyperlink" Target="mailto:juan.echavarria3760@correo.policia.gov.co" TargetMode="External"/><Relationship Id="rId24" Type="http://schemas.openxmlformats.org/officeDocument/2006/relationships/hyperlink" Target="mailto:alonsozuluaga2015@hotmail.com" TargetMode="External"/><Relationship Id="rId40" Type="http://schemas.openxmlformats.org/officeDocument/2006/relationships/hyperlink" Target="mailto:blanca.garzon446@casur.gov.co" TargetMode="External"/><Relationship Id="rId45" Type="http://schemas.openxmlformats.org/officeDocument/2006/relationships/hyperlink" Target="mailto:maru-pino@hotmail.es" TargetMode="External"/><Relationship Id="rId66" Type="http://schemas.openxmlformats.org/officeDocument/2006/relationships/hyperlink" Target="mailto:puppy6256@hotmail.com" TargetMode="External"/><Relationship Id="rId87" Type="http://schemas.openxmlformats.org/officeDocument/2006/relationships/printerSettings" Target="../printerSettings/printerSettings1.bin"/><Relationship Id="rId61" Type="http://schemas.openxmlformats.org/officeDocument/2006/relationships/hyperlink" Target="mailto:edgarsanchez70@hotmail.com" TargetMode="External"/><Relationship Id="rId82" Type="http://schemas.openxmlformats.org/officeDocument/2006/relationships/hyperlink" Target="mailto:luchoeduardo0509@gmail.com" TargetMode="External"/><Relationship Id="rId19" Type="http://schemas.openxmlformats.org/officeDocument/2006/relationships/hyperlink" Target="mailto:espinosafernando686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mailto:ospinaoscaralonso1961@gmail.com" TargetMode="External"/><Relationship Id="rId7" Type="http://schemas.openxmlformats.org/officeDocument/2006/relationships/hyperlink" Target="mailto:hectorduque@yahoo.com" TargetMode="External"/><Relationship Id="rId2" Type="http://schemas.openxmlformats.org/officeDocument/2006/relationships/hyperlink" Target="mailto:linamaritza15@hotmail.es" TargetMode="External"/><Relationship Id="rId1" Type="http://schemas.openxmlformats.org/officeDocument/2006/relationships/hyperlink" Target="mailto:rafael.munoz061074@gmail.com" TargetMode="External"/><Relationship Id="rId6" Type="http://schemas.openxmlformats.org/officeDocument/2006/relationships/hyperlink" Target="mailto:ing.ramirorodas@gmail.com" TargetMode="External"/><Relationship Id="rId5" Type="http://schemas.openxmlformats.org/officeDocument/2006/relationships/hyperlink" Target="mailto:alirio112@hotmail.com" TargetMode="External"/><Relationship Id="rId4" Type="http://schemas.openxmlformats.org/officeDocument/2006/relationships/hyperlink" Target="mailto:educacionambientaljf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120"/>
  <sheetViews>
    <sheetView topLeftCell="A104" workbookViewId="0">
      <selection activeCell="A111" sqref="A111"/>
    </sheetView>
  </sheetViews>
  <sheetFormatPr baseColWidth="10" defaultRowHeight="15" x14ac:dyDescent="0.25"/>
  <cols>
    <col min="1" max="1" width="29.7109375" customWidth="1"/>
    <col min="2" max="2" width="20.140625" bestFit="1" customWidth="1"/>
    <col min="3" max="3" width="20.140625" customWidth="1"/>
    <col min="4" max="4" width="22.85546875" bestFit="1" customWidth="1"/>
    <col min="5" max="5" width="38.140625" bestFit="1" customWidth="1"/>
    <col min="6" max="6" width="38.42578125" bestFit="1" customWidth="1"/>
    <col min="7" max="7" width="18.5703125" bestFit="1" customWidth="1"/>
    <col min="8" max="8" width="24.7109375" bestFit="1" customWidth="1"/>
    <col min="9" max="9" width="17.5703125" bestFit="1" customWidth="1"/>
    <col min="10" max="10" width="39" bestFit="1" customWidth="1"/>
    <col min="11" max="11" width="14.85546875" bestFit="1" customWidth="1"/>
    <col min="12" max="12" width="25" bestFit="1" customWidth="1"/>
    <col min="13" max="13" width="23.42578125" bestFit="1" customWidth="1"/>
    <col min="14" max="14" width="21.5703125" bestFit="1" customWidth="1"/>
    <col min="15" max="15" width="25.7109375" bestFit="1" customWidth="1"/>
    <col min="16" max="16" width="11.5703125" bestFit="1" customWidth="1"/>
    <col min="17" max="17" width="29.42578125" bestFit="1" customWidth="1"/>
    <col min="18" max="18" width="23.85546875" bestFit="1" customWidth="1"/>
    <col min="19" max="19" width="26.7109375" bestFit="1" customWidth="1"/>
    <col min="23" max="23" width="49.28515625" bestFit="1" customWidth="1"/>
  </cols>
  <sheetData>
    <row r="1" spans="1:25" ht="18.75" x14ac:dyDescent="0.25">
      <c r="A1" s="18" t="s">
        <v>46</v>
      </c>
      <c r="B1" s="18" t="s">
        <v>47</v>
      </c>
      <c r="C1" s="18" t="s">
        <v>63</v>
      </c>
      <c r="D1" s="18" t="s">
        <v>48</v>
      </c>
      <c r="E1" s="18" t="s">
        <v>49</v>
      </c>
      <c r="F1" s="18" t="s">
        <v>67</v>
      </c>
      <c r="G1" s="18" t="s">
        <v>64</v>
      </c>
      <c r="H1" s="18" t="s">
        <v>65</v>
      </c>
      <c r="I1" s="18" t="s">
        <v>50</v>
      </c>
      <c r="J1" s="18" t="s">
        <v>51</v>
      </c>
      <c r="K1" s="18" t="s">
        <v>52</v>
      </c>
      <c r="L1" s="18" t="s">
        <v>61</v>
      </c>
      <c r="M1" s="18" t="s">
        <v>134</v>
      </c>
      <c r="N1" s="18" t="s">
        <v>62</v>
      </c>
      <c r="O1" s="18" t="s">
        <v>117</v>
      </c>
      <c r="P1" s="18" t="s">
        <v>53</v>
      </c>
      <c r="Q1" s="18" t="s">
        <v>54</v>
      </c>
      <c r="R1" s="18" t="s">
        <v>66</v>
      </c>
      <c r="S1" s="18" t="s">
        <v>55</v>
      </c>
      <c r="T1" s="18" t="s">
        <v>56</v>
      </c>
      <c r="U1" s="18" t="s">
        <v>57</v>
      </c>
      <c r="V1" s="18" t="s">
        <v>58</v>
      </c>
      <c r="W1" s="18" t="s">
        <v>59</v>
      </c>
      <c r="X1" s="18" t="s">
        <v>60</v>
      </c>
      <c r="Y1" s="128" t="s">
        <v>959</v>
      </c>
    </row>
    <row r="2" spans="1:25" s="96" customFormat="1" ht="45.75" thickBot="1" x14ac:dyDescent="0.3">
      <c r="A2" s="97" t="s">
        <v>0</v>
      </c>
      <c r="B2" s="98">
        <v>10059740</v>
      </c>
      <c r="C2" s="98"/>
      <c r="D2" s="99">
        <v>419</v>
      </c>
      <c r="E2" s="100" t="s">
        <v>1</v>
      </c>
      <c r="F2" s="100"/>
      <c r="G2" s="100"/>
      <c r="H2" s="100"/>
      <c r="I2" s="101">
        <v>3122515023</v>
      </c>
      <c r="J2" s="101"/>
      <c r="K2" s="102">
        <v>1700000</v>
      </c>
      <c r="L2" s="102">
        <f t="shared" ref="L2:L33" si="0">(((K2*0.13))*3+1500000)+K2</f>
        <v>3863000</v>
      </c>
      <c r="M2" s="102" t="s">
        <v>135</v>
      </c>
      <c r="N2" s="102">
        <f t="shared" ref="N2:N33" si="1">(L2*0.13)</f>
        <v>502190</v>
      </c>
      <c r="O2" s="102" t="s">
        <v>118</v>
      </c>
      <c r="P2" s="103">
        <v>0</v>
      </c>
      <c r="Q2" s="104" t="s">
        <v>151</v>
      </c>
      <c r="R2" s="104" t="s">
        <v>180</v>
      </c>
      <c r="S2" s="100" t="s">
        <v>634</v>
      </c>
      <c r="T2" s="105"/>
      <c r="U2" s="100"/>
      <c r="V2" s="100"/>
      <c r="W2" s="106"/>
      <c r="X2" s="107"/>
    </row>
    <row r="3" spans="1:25" ht="30.75" thickBot="1" x14ac:dyDescent="0.3">
      <c r="A3" s="1" t="s">
        <v>2</v>
      </c>
      <c r="B3" s="2">
        <v>10084648</v>
      </c>
      <c r="C3" s="2"/>
      <c r="D3" s="3">
        <v>420</v>
      </c>
      <c r="E3" s="4" t="s">
        <v>3</v>
      </c>
      <c r="F3" s="4"/>
      <c r="G3" s="4"/>
      <c r="H3" s="4"/>
      <c r="I3" s="5">
        <v>3217266221</v>
      </c>
      <c r="J3" s="5"/>
      <c r="K3" s="20">
        <v>300000</v>
      </c>
      <c r="L3" s="22">
        <f t="shared" si="0"/>
        <v>1917000</v>
      </c>
      <c r="M3" s="22" t="s">
        <v>138</v>
      </c>
      <c r="N3" s="22">
        <f t="shared" si="1"/>
        <v>249210</v>
      </c>
      <c r="O3" s="22" t="s">
        <v>119</v>
      </c>
      <c r="P3" s="6">
        <v>13</v>
      </c>
      <c r="Q3" s="7" t="s">
        <v>151</v>
      </c>
      <c r="R3" s="7" t="s">
        <v>180</v>
      </c>
      <c r="S3" s="4" t="s">
        <v>956</v>
      </c>
      <c r="T3" s="71">
        <v>339000</v>
      </c>
      <c r="U3" s="7">
        <v>44944</v>
      </c>
      <c r="V3" s="4" t="s">
        <v>4</v>
      </c>
      <c r="W3" s="15">
        <v>44944</v>
      </c>
      <c r="X3" s="17"/>
    </row>
    <row r="4" spans="1:25" ht="30.75" thickBot="1" x14ac:dyDescent="0.3">
      <c r="A4" s="1" t="s">
        <v>18</v>
      </c>
      <c r="B4" s="2">
        <v>16474512</v>
      </c>
      <c r="C4" s="2"/>
      <c r="D4" s="3">
        <v>425</v>
      </c>
      <c r="E4" s="4" t="s">
        <v>19</v>
      </c>
      <c r="F4" s="4"/>
      <c r="G4" s="4"/>
      <c r="H4" s="4"/>
      <c r="I4" s="5">
        <v>3006547881</v>
      </c>
      <c r="J4" s="5"/>
      <c r="K4" s="20">
        <v>1000000</v>
      </c>
      <c r="L4" s="22">
        <f t="shared" si="0"/>
        <v>2890000</v>
      </c>
      <c r="M4" s="22" t="s">
        <v>142</v>
      </c>
      <c r="N4" s="22">
        <f t="shared" si="1"/>
        <v>375700</v>
      </c>
      <c r="O4" s="22" t="s">
        <v>125</v>
      </c>
      <c r="P4" s="6">
        <v>13</v>
      </c>
      <c r="Q4" s="7" t="s">
        <v>154</v>
      </c>
      <c r="R4" s="7" t="s">
        <v>183</v>
      </c>
      <c r="S4" s="4" t="s">
        <v>641</v>
      </c>
      <c r="T4" s="71">
        <v>1065000</v>
      </c>
      <c r="U4" s="7">
        <v>44957</v>
      </c>
      <c r="V4" s="4" t="s">
        <v>20</v>
      </c>
      <c r="W4" s="24">
        <v>44957</v>
      </c>
      <c r="X4" s="17"/>
    </row>
    <row r="5" spans="1:25" ht="30.75" thickBot="1" x14ac:dyDescent="0.3">
      <c r="A5" s="1" t="s">
        <v>9</v>
      </c>
      <c r="B5" s="2">
        <v>4477806</v>
      </c>
      <c r="C5" s="2"/>
      <c r="D5" s="3" t="s">
        <v>10</v>
      </c>
      <c r="E5" s="4" t="s">
        <v>11</v>
      </c>
      <c r="F5" s="4"/>
      <c r="G5" s="4"/>
      <c r="H5" s="4"/>
      <c r="I5" s="5" t="s">
        <v>12</v>
      </c>
      <c r="J5" s="5"/>
      <c r="K5" s="20">
        <v>400000</v>
      </c>
      <c r="L5" s="22">
        <f t="shared" si="0"/>
        <v>2056000</v>
      </c>
      <c r="M5" s="22" t="s">
        <v>139</v>
      </c>
      <c r="N5" s="22">
        <f t="shared" si="1"/>
        <v>267280</v>
      </c>
      <c r="O5" s="22" t="s">
        <v>122</v>
      </c>
      <c r="P5" s="6">
        <v>13</v>
      </c>
      <c r="Q5" s="7" t="s">
        <v>152</v>
      </c>
      <c r="R5" s="7" t="s">
        <v>181</v>
      </c>
      <c r="S5" s="4" t="s">
        <v>641</v>
      </c>
      <c r="T5" s="72">
        <v>452000</v>
      </c>
      <c r="U5" s="23">
        <v>44960</v>
      </c>
      <c r="V5" s="4" t="s">
        <v>4</v>
      </c>
      <c r="W5" s="24">
        <v>44960</v>
      </c>
      <c r="X5" s="17"/>
    </row>
    <row r="6" spans="1:25" ht="30.75" thickBot="1" x14ac:dyDescent="0.3">
      <c r="A6" s="1" t="s">
        <v>29</v>
      </c>
      <c r="B6" s="2">
        <v>10220144</v>
      </c>
      <c r="C6" s="2"/>
      <c r="D6" s="3" t="s">
        <v>30</v>
      </c>
      <c r="E6" s="4" t="s">
        <v>31</v>
      </c>
      <c r="F6" s="4"/>
      <c r="G6" s="4"/>
      <c r="H6" s="4"/>
      <c r="I6" s="5">
        <v>3135263442</v>
      </c>
      <c r="J6" s="5"/>
      <c r="K6" s="20">
        <v>800000</v>
      </c>
      <c r="L6" s="22">
        <f t="shared" si="0"/>
        <v>2612000</v>
      </c>
      <c r="M6" s="22" t="s">
        <v>143</v>
      </c>
      <c r="N6" s="22">
        <f t="shared" si="1"/>
        <v>339560</v>
      </c>
      <c r="O6" s="22" t="s">
        <v>126</v>
      </c>
      <c r="P6" s="6">
        <v>13</v>
      </c>
      <c r="Q6" s="7" t="s">
        <v>157</v>
      </c>
      <c r="R6" s="7" t="s">
        <v>186</v>
      </c>
      <c r="S6" s="4" t="s">
        <v>641</v>
      </c>
      <c r="T6" s="72">
        <v>1302000</v>
      </c>
      <c r="U6" s="23">
        <v>44964</v>
      </c>
      <c r="V6" s="4" t="s">
        <v>4</v>
      </c>
      <c r="W6" s="24">
        <v>44964</v>
      </c>
      <c r="X6" s="17"/>
    </row>
    <row r="7" spans="1:25" ht="45.75" thickBot="1" x14ac:dyDescent="0.3">
      <c r="A7" s="8" t="s">
        <v>13</v>
      </c>
      <c r="B7" s="9">
        <v>16204430</v>
      </c>
      <c r="C7" s="9"/>
      <c r="D7" s="10">
        <v>423</v>
      </c>
      <c r="E7" s="11" t="s">
        <v>14</v>
      </c>
      <c r="F7" s="11"/>
      <c r="G7" s="11"/>
      <c r="H7" s="11"/>
      <c r="I7" s="12">
        <v>3128509307</v>
      </c>
      <c r="J7" s="12"/>
      <c r="K7" s="21">
        <v>850000</v>
      </c>
      <c r="L7" s="19">
        <f t="shared" si="0"/>
        <v>2681500</v>
      </c>
      <c r="M7" s="19" t="s">
        <v>140</v>
      </c>
      <c r="N7" s="19">
        <f t="shared" si="1"/>
        <v>348595</v>
      </c>
      <c r="O7" s="19" t="s">
        <v>123</v>
      </c>
      <c r="P7" s="13">
        <v>13</v>
      </c>
      <c r="Q7" s="14" t="s">
        <v>153</v>
      </c>
      <c r="R7" s="14" t="s">
        <v>182</v>
      </c>
      <c r="S7" s="11" t="s">
        <v>956</v>
      </c>
      <c r="T7" s="73"/>
      <c r="U7" s="11"/>
      <c r="V7" s="11"/>
      <c r="W7" s="16"/>
      <c r="X7" s="17" t="s">
        <v>386</v>
      </c>
    </row>
    <row r="8" spans="1:25" ht="30.75" thickBot="1" x14ac:dyDescent="0.3">
      <c r="A8" s="1" t="s">
        <v>15</v>
      </c>
      <c r="B8" s="2">
        <v>24602460</v>
      </c>
      <c r="C8" s="2"/>
      <c r="D8" s="3">
        <v>424</v>
      </c>
      <c r="E8" s="4" t="s">
        <v>16</v>
      </c>
      <c r="F8" s="4"/>
      <c r="G8" s="4"/>
      <c r="H8" s="4"/>
      <c r="I8" s="5">
        <v>3145867385</v>
      </c>
      <c r="J8" s="5"/>
      <c r="K8" s="20">
        <v>500000</v>
      </c>
      <c r="L8" s="22">
        <f t="shared" si="0"/>
        <v>2195000</v>
      </c>
      <c r="M8" s="22" t="s">
        <v>141</v>
      </c>
      <c r="N8" s="22">
        <f t="shared" si="1"/>
        <v>285350</v>
      </c>
      <c r="O8" s="22" t="s">
        <v>124</v>
      </c>
      <c r="P8" s="6">
        <v>13</v>
      </c>
      <c r="Q8" s="7" t="s">
        <v>154</v>
      </c>
      <c r="R8" s="7" t="s">
        <v>183</v>
      </c>
      <c r="S8" s="4" t="s">
        <v>641</v>
      </c>
      <c r="T8" s="71">
        <v>1916000</v>
      </c>
      <c r="U8" s="7">
        <v>44965</v>
      </c>
      <c r="V8" s="4" t="s">
        <v>17</v>
      </c>
      <c r="W8" s="15">
        <v>44965</v>
      </c>
      <c r="X8" s="17"/>
    </row>
    <row r="9" spans="1:25" ht="30.75" thickBot="1" x14ac:dyDescent="0.3">
      <c r="A9" s="1" t="s">
        <v>23</v>
      </c>
      <c r="B9" s="2">
        <v>10109440</v>
      </c>
      <c r="C9" s="2"/>
      <c r="D9" s="3">
        <v>507</v>
      </c>
      <c r="E9" s="4" t="s">
        <v>24</v>
      </c>
      <c r="F9" s="4"/>
      <c r="G9" s="4"/>
      <c r="H9" s="4"/>
      <c r="I9" s="5">
        <v>3053413440</v>
      </c>
      <c r="J9" s="5"/>
      <c r="K9" s="20">
        <v>1000000</v>
      </c>
      <c r="L9" s="22">
        <f t="shared" si="0"/>
        <v>2890000</v>
      </c>
      <c r="M9" s="22" t="s">
        <v>142</v>
      </c>
      <c r="N9" s="22">
        <f t="shared" si="1"/>
        <v>375700</v>
      </c>
      <c r="O9" s="22" t="s">
        <v>125</v>
      </c>
      <c r="P9" s="6">
        <v>13</v>
      </c>
      <c r="Q9" s="7" t="s">
        <v>155</v>
      </c>
      <c r="R9" s="7" t="s">
        <v>184</v>
      </c>
      <c r="S9" s="4" t="s">
        <v>641</v>
      </c>
      <c r="T9" s="71">
        <v>1130000</v>
      </c>
      <c r="U9" s="7">
        <v>44970</v>
      </c>
      <c r="V9" s="4" t="s">
        <v>20</v>
      </c>
      <c r="W9" s="15">
        <v>44970</v>
      </c>
      <c r="X9" s="17"/>
    </row>
    <row r="10" spans="1:25" ht="30.75" thickBot="1" x14ac:dyDescent="0.3">
      <c r="A10" s="1" t="s">
        <v>5</v>
      </c>
      <c r="B10" s="2">
        <v>18514280</v>
      </c>
      <c r="C10" s="2"/>
      <c r="D10" s="3">
        <v>421</v>
      </c>
      <c r="E10" s="4" t="s">
        <v>6</v>
      </c>
      <c r="F10" s="4"/>
      <c r="G10" s="4"/>
      <c r="H10" s="4"/>
      <c r="I10" s="5">
        <v>3205870266</v>
      </c>
      <c r="J10" s="5"/>
      <c r="K10" s="20">
        <v>1500000</v>
      </c>
      <c r="L10" s="22">
        <f t="shared" si="0"/>
        <v>3585000</v>
      </c>
      <c r="M10" s="22" t="s">
        <v>136</v>
      </c>
      <c r="N10" s="22">
        <f t="shared" si="1"/>
        <v>466050</v>
      </c>
      <c r="O10" s="22" t="s">
        <v>120</v>
      </c>
      <c r="P10" s="6">
        <v>13</v>
      </c>
      <c r="Q10" s="7" t="s">
        <v>151</v>
      </c>
      <c r="R10" s="7" t="s">
        <v>180</v>
      </c>
      <c r="S10" s="4" t="s">
        <v>956</v>
      </c>
      <c r="T10" s="71">
        <v>1695000</v>
      </c>
      <c r="U10" s="7">
        <v>44973</v>
      </c>
      <c r="V10" s="4" t="s">
        <v>4</v>
      </c>
      <c r="W10" s="15">
        <v>44973</v>
      </c>
      <c r="X10" s="17"/>
    </row>
    <row r="11" spans="1:25" ht="30.75" thickBot="1" x14ac:dyDescent="0.3">
      <c r="A11" s="1" t="s">
        <v>34</v>
      </c>
      <c r="B11" s="2">
        <v>10060779</v>
      </c>
      <c r="C11" s="2" t="s">
        <v>72</v>
      </c>
      <c r="D11" s="3">
        <v>431</v>
      </c>
      <c r="E11" s="4" t="s">
        <v>210</v>
      </c>
      <c r="F11" s="4" t="s">
        <v>211</v>
      </c>
      <c r="G11" s="4" t="s">
        <v>89</v>
      </c>
      <c r="H11" s="4" t="s">
        <v>73</v>
      </c>
      <c r="I11" s="5">
        <v>3178487073</v>
      </c>
      <c r="J11" s="5" t="s">
        <v>424</v>
      </c>
      <c r="K11" s="20">
        <v>200000</v>
      </c>
      <c r="L11" s="22">
        <f t="shared" si="0"/>
        <v>1778000</v>
      </c>
      <c r="M11" s="22" t="s">
        <v>144</v>
      </c>
      <c r="N11" s="22">
        <f t="shared" si="1"/>
        <v>231140</v>
      </c>
      <c r="O11" s="22" t="s">
        <v>127</v>
      </c>
      <c r="P11" s="6">
        <v>13</v>
      </c>
      <c r="Q11" s="7" t="s">
        <v>158</v>
      </c>
      <c r="R11" s="7" t="s">
        <v>187</v>
      </c>
      <c r="S11" s="4" t="s">
        <v>641</v>
      </c>
      <c r="T11" s="71">
        <v>268000</v>
      </c>
      <c r="U11" s="7">
        <v>44973</v>
      </c>
      <c r="V11" s="4" t="s">
        <v>35</v>
      </c>
      <c r="W11" s="15">
        <v>44973</v>
      </c>
      <c r="X11" s="17"/>
    </row>
    <row r="12" spans="1:25" ht="30.75" thickBot="1" x14ac:dyDescent="0.3">
      <c r="A12" s="8" t="s">
        <v>25</v>
      </c>
      <c r="B12" s="9">
        <v>42056761</v>
      </c>
      <c r="C12" s="9"/>
      <c r="D12" s="10">
        <v>508</v>
      </c>
      <c r="E12" s="11" t="s">
        <v>26</v>
      </c>
      <c r="F12" s="11"/>
      <c r="G12" s="11"/>
      <c r="H12" s="11"/>
      <c r="I12" s="12">
        <v>3173776557</v>
      </c>
      <c r="J12" s="12"/>
      <c r="K12" s="21">
        <v>2000000</v>
      </c>
      <c r="L12" s="19">
        <f t="shared" si="0"/>
        <v>4280000</v>
      </c>
      <c r="M12" s="19" t="s">
        <v>137</v>
      </c>
      <c r="N12" s="19">
        <f t="shared" si="1"/>
        <v>556400</v>
      </c>
      <c r="O12" s="19" t="s">
        <v>121</v>
      </c>
      <c r="P12" s="13">
        <v>13</v>
      </c>
      <c r="Q12" s="14" t="s">
        <v>156</v>
      </c>
      <c r="R12" s="14" t="s">
        <v>185</v>
      </c>
      <c r="S12" s="4" t="s">
        <v>641</v>
      </c>
      <c r="T12" s="73"/>
      <c r="U12" s="11"/>
      <c r="V12" s="11"/>
      <c r="W12" s="16"/>
      <c r="X12" s="17" t="s">
        <v>386</v>
      </c>
    </row>
    <row r="13" spans="1:25" ht="30.75" thickBot="1" x14ac:dyDescent="0.3">
      <c r="A13" s="8" t="s">
        <v>27</v>
      </c>
      <c r="B13" s="9">
        <v>10073529</v>
      </c>
      <c r="C13" s="9"/>
      <c r="D13" s="10">
        <v>429</v>
      </c>
      <c r="E13" s="11" t="s">
        <v>28</v>
      </c>
      <c r="F13" s="11"/>
      <c r="G13" s="11"/>
      <c r="H13" s="11"/>
      <c r="I13" s="12">
        <v>3207184824</v>
      </c>
      <c r="J13" s="12"/>
      <c r="K13" s="21">
        <v>2000000</v>
      </c>
      <c r="L13" s="19">
        <f t="shared" si="0"/>
        <v>4280000</v>
      </c>
      <c r="M13" s="19" t="s">
        <v>137</v>
      </c>
      <c r="N13" s="19">
        <f t="shared" si="1"/>
        <v>556400</v>
      </c>
      <c r="O13" s="19" t="s">
        <v>121</v>
      </c>
      <c r="P13" s="13">
        <v>13</v>
      </c>
      <c r="Q13" s="14" t="s">
        <v>157</v>
      </c>
      <c r="R13" s="14" t="s">
        <v>186</v>
      </c>
      <c r="S13" s="4" t="s">
        <v>641</v>
      </c>
      <c r="T13" s="73"/>
      <c r="U13" s="11"/>
      <c r="V13" s="11"/>
      <c r="W13" s="16"/>
      <c r="X13" s="17" t="s">
        <v>386</v>
      </c>
    </row>
    <row r="14" spans="1:25" ht="45.75" thickBot="1" x14ac:dyDescent="0.3">
      <c r="A14" s="1" t="s">
        <v>36</v>
      </c>
      <c r="B14" s="2">
        <v>10094542</v>
      </c>
      <c r="C14" s="2"/>
      <c r="D14" s="3">
        <v>432</v>
      </c>
      <c r="E14" s="4" t="s">
        <v>37</v>
      </c>
      <c r="F14" s="4"/>
      <c r="G14" s="4"/>
      <c r="H14" s="4"/>
      <c r="I14" s="5">
        <v>3016885914</v>
      </c>
      <c r="J14" s="5"/>
      <c r="K14" s="20">
        <v>700000</v>
      </c>
      <c r="L14" s="22">
        <f t="shared" si="0"/>
        <v>2473000</v>
      </c>
      <c r="M14" s="22" t="s">
        <v>145</v>
      </c>
      <c r="N14" s="22">
        <f t="shared" si="1"/>
        <v>321490</v>
      </c>
      <c r="O14" s="22" t="s">
        <v>128</v>
      </c>
      <c r="P14" s="6">
        <v>13</v>
      </c>
      <c r="Q14" s="7" t="s">
        <v>159</v>
      </c>
      <c r="R14" s="7" t="s">
        <v>188</v>
      </c>
      <c r="S14" s="4" t="s">
        <v>641</v>
      </c>
      <c r="T14" s="71">
        <v>746000</v>
      </c>
      <c r="U14" s="7">
        <v>44973</v>
      </c>
      <c r="V14" s="4" t="s">
        <v>35</v>
      </c>
      <c r="W14" s="15">
        <v>44973</v>
      </c>
      <c r="X14" s="17"/>
    </row>
    <row r="15" spans="1:25" ht="30.75" thickBot="1" x14ac:dyDescent="0.3">
      <c r="A15" s="1" t="s">
        <v>32</v>
      </c>
      <c r="B15" s="2">
        <v>15896014</v>
      </c>
      <c r="C15" s="2"/>
      <c r="D15" s="3">
        <v>430</v>
      </c>
      <c r="E15" s="4" t="s">
        <v>33</v>
      </c>
      <c r="F15" s="4"/>
      <c r="G15" s="4"/>
      <c r="H15" s="4"/>
      <c r="I15" s="5">
        <v>3106248962</v>
      </c>
      <c r="J15" s="5"/>
      <c r="K15" s="20">
        <v>1000000</v>
      </c>
      <c r="L15" s="22">
        <f t="shared" si="0"/>
        <v>2890000</v>
      </c>
      <c r="M15" s="22" t="s">
        <v>142</v>
      </c>
      <c r="N15" s="22">
        <f t="shared" si="1"/>
        <v>375700</v>
      </c>
      <c r="O15" s="22" t="s">
        <v>125</v>
      </c>
      <c r="P15" s="6">
        <v>13</v>
      </c>
      <c r="Q15" s="7" t="s">
        <v>158</v>
      </c>
      <c r="R15" s="7" t="s">
        <v>187</v>
      </c>
      <c r="S15" s="4" t="s">
        <v>641</v>
      </c>
      <c r="T15" s="72">
        <v>1065000</v>
      </c>
      <c r="U15" s="23">
        <v>44974</v>
      </c>
      <c r="V15" s="4" t="s">
        <v>4</v>
      </c>
      <c r="W15" s="24">
        <v>44974</v>
      </c>
      <c r="X15" s="17"/>
    </row>
    <row r="16" spans="1:25" ht="30.75" thickBot="1" x14ac:dyDescent="0.3">
      <c r="A16" s="1" t="s">
        <v>7</v>
      </c>
      <c r="B16" s="2">
        <v>94229441</v>
      </c>
      <c r="C16" s="2"/>
      <c r="D16" s="3">
        <v>422</v>
      </c>
      <c r="E16" s="4" t="s">
        <v>8</v>
      </c>
      <c r="F16" s="4"/>
      <c r="G16" s="4"/>
      <c r="H16" s="4"/>
      <c r="I16" s="5">
        <v>3185376934</v>
      </c>
      <c r="J16" s="5"/>
      <c r="K16" s="20">
        <v>2000000</v>
      </c>
      <c r="L16" s="22">
        <f t="shared" si="0"/>
        <v>4280000</v>
      </c>
      <c r="M16" s="22" t="s">
        <v>137</v>
      </c>
      <c r="N16" s="22">
        <f t="shared" si="1"/>
        <v>556400</v>
      </c>
      <c r="O16" s="22" t="s">
        <v>121</v>
      </c>
      <c r="P16" s="6">
        <v>13</v>
      </c>
      <c r="Q16" s="7" t="s">
        <v>152</v>
      </c>
      <c r="R16" s="7" t="s">
        <v>181</v>
      </c>
      <c r="S16" s="4" t="s">
        <v>641</v>
      </c>
      <c r="T16" s="72">
        <v>2260000</v>
      </c>
      <c r="U16" s="23">
        <v>44977</v>
      </c>
      <c r="V16" s="4" t="s">
        <v>4</v>
      </c>
      <c r="W16" s="24">
        <v>44977</v>
      </c>
      <c r="X16" s="17"/>
    </row>
    <row r="17" spans="1:25" ht="30.75" thickBot="1" x14ac:dyDescent="0.3">
      <c r="A17" s="1" t="s">
        <v>40</v>
      </c>
      <c r="B17" s="2">
        <v>28546398</v>
      </c>
      <c r="C17" s="2"/>
      <c r="D17" s="3">
        <v>434</v>
      </c>
      <c r="E17" s="4" t="s">
        <v>41</v>
      </c>
      <c r="F17" s="4"/>
      <c r="G17" s="4"/>
      <c r="H17" s="4"/>
      <c r="I17" s="5">
        <v>3122911180</v>
      </c>
      <c r="J17" s="5"/>
      <c r="K17" s="20">
        <v>1000000</v>
      </c>
      <c r="L17" s="22">
        <f t="shared" si="0"/>
        <v>2890000</v>
      </c>
      <c r="M17" s="22" t="s">
        <v>142</v>
      </c>
      <c r="N17" s="22">
        <f t="shared" si="1"/>
        <v>375700</v>
      </c>
      <c r="O17" s="22" t="s">
        <v>125</v>
      </c>
      <c r="P17" s="6">
        <v>13</v>
      </c>
      <c r="Q17" s="7" t="s">
        <v>161</v>
      </c>
      <c r="R17" s="7" t="s">
        <v>190</v>
      </c>
      <c r="S17" s="4" t="s">
        <v>641</v>
      </c>
      <c r="T17" s="72">
        <v>1065000</v>
      </c>
      <c r="U17" s="23">
        <v>44981</v>
      </c>
      <c r="V17" s="4" t="s">
        <v>4</v>
      </c>
      <c r="W17" s="24">
        <v>44981</v>
      </c>
      <c r="X17" s="17"/>
    </row>
    <row r="18" spans="1:25" ht="30.75" thickBot="1" x14ac:dyDescent="0.3">
      <c r="A18" s="1" t="s">
        <v>42</v>
      </c>
      <c r="B18" s="2">
        <v>6555890</v>
      </c>
      <c r="C18" s="2"/>
      <c r="D18" s="3">
        <v>435</v>
      </c>
      <c r="E18" s="4" t="s">
        <v>43</v>
      </c>
      <c r="F18" s="4"/>
      <c r="G18" s="4"/>
      <c r="H18" s="4"/>
      <c r="I18" s="5">
        <v>3227898121</v>
      </c>
      <c r="J18" s="5"/>
      <c r="K18" s="20">
        <v>500000</v>
      </c>
      <c r="L18" s="22">
        <f t="shared" si="0"/>
        <v>2195000</v>
      </c>
      <c r="M18" s="22" t="s">
        <v>141</v>
      </c>
      <c r="N18" s="22">
        <f t="shared" si="1"/>
        <v>285350</v>
      </c>
      <c r="O18" s="22" t="s">
        <v>124</v>
      </c>
      <c r="P18" s="6">
        <v>13</v>
      </c>
      <c r="Q18" s="7" t="s">
        <v>162</v>
      </c>
      <c r="R18" s="7" t="s">
        <v>191</v>
      </c>
      <c r="S18" s="4" t="s">
        <v>641</v>
      </c>
      <c r="T18" s="72">
        <v>560000</v>
      </c>
      <c r="U18" s="23">
        <v>44985</v>
      </c>
      <c r="V18" s="4" t="s">
        <v>4</v>
      </c>
      <c r="W18" s="24">
        <v>44985</v>
      </c>
      <c r="X18" s="17"/>
    </row>
    <row r="19" spans="1:25" ht="45.75" thickBot="1" x14ac:dyDescent="0.3">
      <c r="A19" s="1" t="s">
        <v>38</v>
      </c>
      <c r="B19" s="2">
        <v>18507024</v>
      </c>
      <c r="C19" s="2"/>
      <c r="D19" s="3">
        <v>433</v>
      </c>
      <c r="E19" s="4" t="s">
        <v>39</v>
      </c>
      <c r="F19" s="4"/>
      <c r="G19" s="4"/>
      <c r="H19" s="4"/>
      <c r="I19" s="5">
        <v>3158762448</v>
      </c>
      <c r="J19" s="5"/>
      <c r="K19" s="20">
        <v>5000000</v>
      </c>
      <c r="L19" s="22">
        <f t="shared" si="0"/>
        <v>8450000</v>
      </c>
      <c r="M19" s="22" t="s">
        <v>146</v>
      </c>
      <c r="N19" s="22">
        <f t="shared" si="1"/>
        <v>1098500</v>
      </c>
      <c r="O19" s="22" t="s">
        <v>129</v>
      </c>
      <c r="P19" s="6">
        <v>13</v>
      </c>
      <c r="Q19" s="7" t="s">
        <v>160</v>
      </c>
      <c r="R19" s="7" t="s">
        <v>189</v>
      </c>
      <c r="S19" s="4" t="s">
        <v>641</v>
      </c>
      <c r="T19" s="72">
        <v>5650000</v>
      </c>
      <c r="U19" s="23">
        <v>44987</v>
      </c>
      <c r="V19" s="4" t="s">
        <v>4</v>
      </c>
      <c r="W19" s="24">
        <v>44987</v>
      </c>
      <c r="X19" s="17"/>
    </row>
    <row r="20" spans="1:25" ht="30.75" thickBot="1" x14ac:dyDescent="0.3">
      <c r="A20" s="1" t="s">
        <v>21</v>
      </c>
      <c r="B20" s="2">
        <v>10063257</v>
      </c>
      <c r="C20" s="2"/>
      <c r="D20" s="3">
        <v>426</v>
      </c>
      <c r="E20" s="4" t="s">
        <v>22</v>
      </c>
      <c r="F20" s="4"/>
      <c r="G20" s="4"/>
      <c r="H20" s="4"/>
      <c r="I20" s="5">
        <v>3104711383</v>
      </c>
      <c r="J20" s="5"/>
      <c r="K20" s="20">
        <v>300000</v>
      </c>
      <c r="L20" s="22">
        <f t="shared" si="0"/>
        <v>1917000</v>
      </c>
      <c r="M20" s="22" t="s">
        <v>138</v>
      </c>
      <c r="N20" s="22">
        <f t="shared" si="1"/>
        <v>249210</v>
      </c>
      <c r="O20" s="22" t="s">
        <v>119</v>
      </c>
      <c r="P20" s="6">
        <v>13</v>
      </c>
      <c r="Q20" s="7" t="s">
        <v>154</v>
      </c>
      <c r="R20" s="7" t="s">
        <v>183</v>
      </c>
      <c r="S20" s="4" t="s">
        <v>641</v>
      </c>
      <c r="T20" s="72">
        <v>378000</v>
      </c>
      <c r="U20" s="23">
        <v>44988</v>
      </c>
      <c r="V20" s="4" t="s">
        <v>4</v>
      </c>
      <c r="W20" s="24">
        <v>44988</v>
      </c>
      <c r="X20" s="17"/>
    </row>
    <row r="21" spans="1:25" ht="30.75" thickBot="1" x14ac:dyDescent="0.3">
      <c r="A21" s="108" t="s">
        <v>85</v>
      </c>
      <c r="B21" s="109">
        <v>15957753</v>
      </c>
      <c r="C21" s="109" t="s">
        <v>86</v>
      </c>
      <c r="D21" s="110">
        <v>441</v>
      </c>
      <c r="E21" s="111" t="s">
        <v>87</v>
      </c>
      <c r="F21" s="111" t="s">
        <v>88</v>
      </c>
      <c r="G21" s="111" t="s">
        <v>89</v>
      </c>
      <c r="H21" s="111" t="s">
        <v>73</v>
      </c>
      <c r="I21" s="112">
        <v>3213163382</v>
      </c>
      <c r="J21" s="129" t="s">
        <v>90</v>
      </c>
      <c r="K21" s="113">
        <v>2000000</v>
      </c>
      <c r="L21" s="114">
        <f t="shared" si="0"/>
        <v>4280000</v>
      </c>
      <c r="M21" s="114" t="s">
        <v>137</v>
      </c>
      <c r="N21" s="114">
        <f t="shared" si="1"/>
        <v>556400</v>
      </c>
      <c r="O21" s="114" t="s">
        <v>121</v>
      </c>
      <c r="P21" s="115">
        <v>13</v>
      </c>
      <c r="Q21" s="116" t="s">
        <v>168</v>
      </c>
      <c r="R21" s="116" t="s">
        <v>169</v>
      </c>
      <c r="S21" s="4" t="s">
        <v>641</v>
      </c>
      <c r="T21" s="117">
        <v>2260000</v>
      </c>
      <c r="U21" s="118">
        <v>44998</v>
      </c>
      <c r="V21" s="111" t="s">
        <v>4</v>
      </c>
      <c r="W21" s="119">
        <v>44998</v>
      </c>
      <c r="X21" s="26"/>
    </row>
    <row r="22" spans="1:25" ht="45.75" thickBot="1" x14ac:dyDescent="0.3">
      <c r="A22" s="37" t="s">
        <v>79</v>
      </c>
      <c r="B22" s="38">
        <v>10240555</v>
      </c>
      <c r="C22" s="38" t="s">
        <v>80</v>
      </c>
      <c r="D22" s="39">
        <v>439</v>
      </c>
      <c r="E22" s="37" t="s">
        <v>81</v>
      </c>
      <c r="F22" s="37"/>
      <c r="G22" s="37" t="s">
        <v>82</v>
      </c>
      <c r="H22" s="37" t="s">
        <v>83</v>
      </c>
      <c r="I22" s="40">
        <v>3137474756</v>
      </c>
      <c r="J22" s="41" t="s">
        <v>84</v>
      </c>
      <c r="K22" s="42">
        <v>2500000</v>
      </c>
      <c r="L22" s="42">
        <f t="shared" si="0"/>
        <v>4975000</v>
      </c>
      <c r="M22" s="42" t="s">
        <v>147</v>
      </c>
      <c r="N22" s="42">
        <f t="shared" si="1"/>
        <v>646750</v>
      </c>
      <c r="O22" s="42" t="s">
        <v>130</v>
      </c>
      <c r="P22" s="43">
        <v>13</v>
      </c>
      <c r="Q22" s="44" t="s">
        <v>164</v>
      </c>
      <c r="R22" s="44" t="s">
        <v>165</v>
      </c>
      <c r="S22" s="130" t="s">
        <v>640</v>
      </c>
      <c r="T22" s="75">
        <v>2870000</v>
      </c>
      <c r="U22" s="46">
        <v>45007</v>
      </c>
      <c r="V22" s="37" t="s">
        <v>4</v>
      </c>
      <c r="W22" s="46">
        <v>45007</v>
      </c>
      <c r="X22" s="17"/>
    </row>
    <row r="23" spans="1:25" ht="30" x14ac:dyDescent="0.25">
      <c r="A23" s="79" t="s">
        <v>18</v>
      </c>
      <c r="B23" s="80">
        <v>16474512</v>
      </c>
      <c r="C23" s="80" t="s">
        <v>75</v>
      </c>
      <c r="D23" s="81">
        <v>438</v>
      </c>
      <c r="E23" s="79" t="s">
        <v>76</v>
      </c>
      <c r="F23" s="79" t="s">
        <v>77</v>
      </c>
      <c r="G23" s="79" t="s">
        <v>72</v>
      </c>
      <c r="H23" s="79" t="s">
        <v>73</v>
      </c>
      <c r="I23" s="82">
        <v>3006547881</v>
      </c>
      <c r="J23" s="83" t="s">
        <v>78</v>
      </c>
      <c r="K23" s="84">
        <v>1000000</v>
      </c>
      <c r="L23" s="84">
        <f t="shared" si="0"/>
        <v>2890000</v>
      </c>
      <c r="M23" s="84" t="s">
        <v>142</v>
      </c>
      <c r="N23" s="84">
        <f t="shared" si="1"/>
        <v>375700</v>
      </c>
      <c r="O23" s="84" t="s">
        <v>125</v>
      </c>
      <c r="P23" s="85">
        <v>13</v>
      </c>
      <c r="Q23" s="86" t="s">
        <v>163</v>
      </c>
      <c r="R23" s="86" t="s">
        <v>192</v>
      </c>
      <c r="S23" s="87" t="s">
        <v>956</v>
      </c>
      <c r="T23" s="88"/>
      <c r="U23" s="79"/>
      <c r="V23" s="79"/>
      <c r="W23" s="79"/>
      <c r="X23" s="17"/>
    </row>
    <row r="24" spans="1:25" ht="30.75" thickBot="1" x14ac:dyDescent="0.3">
      <c r="A24" s="37" t="s">
        <v>91</v>
      </c>
      <c r="B24" s="38">
        <v>10122618</v>
      </c>
      <c r="C24" s="38" t="s">
        <v>72</v>
      </c>
      <c r="D24" s="39">
        <v>442</v>
      </c>
      <c r="E24" s="37" t="s">
        <v>92</v>
      </c>
      <c r="F24" s="37" t="s">
        <v>93</v>
      </c>
      <c r="G24" s="37" t="s">
        <v>89</v>
      </c>
      <c r="H24" s="37" t="s">
        <v>73</v>
      </c>
      <c r="I24" s="40">
        <v>3126876414</v>
      </c>
      <c r="J24" s="41" t="s">
        <v>94</v>
      </c>
      <c r="K24" s="42">
        <v>500000</v>
      </c>
      <c r="L24" s="42">
        <f t="shared" si="0"/>
        <v>2195000</v>
      </c>
      <c r="M24" s="42" t="s">
        <v>141</v>
      </c>
      <c r="N24" s="42">
        <f t="shared" si="1"/>
        <v>285350</v>
      </c>
      <c r="O24" s="42" t="s">
        <v>124</v>
      </c>
      <c r="P24" s="43">
        <v>13</v>
      </c>
      <c r="Q24" s="44" t="s">
        <v>168</v>
      </c>
      <c r="R24" s="44" t="s">
        <v>169</v>
      </c>
      <c r="S24" s="37" t="s">
        <v>641</v>
      </c>
      <c r="T24" s="75">
        <v>565000</v>
      </c>
      <c r="U24" s="46">
        <v>45008</v>
      </c>
      <c r="V24" s="37" t="s">
        <v>4</v>
      </c>
      <c r="W24" s="46">
        <v>45008</v>
      </c>
      <c r="X24" s="17"/>
      <c r="Y24" t="s">
        <v>957</v>
      </c>
    </row>
    <row r="25" spans="1:25" ht="30.75" thickBot="1" x14ac:dyDescent="0.3">
      <c r="A25" s="37" t="s">
        <v>68</v>
      </c>
      <c r="B25" s="38">
        <v>4509079</v>
      </c>
      <c r="C25" s="38" t="s">
        <v>69</v>
      </c>
      <c r="D25" s="39">
        <v>440</v>
      </c>
      <c r="E25" s="37" t="s">
        <v>70</v>
      </c>
      <c r="F25" s="37" t="s">
        <v>71</v>
      </c>
      <c r="G25" s="37" t="s">
        <v>72</v>
      </c>
      <c r="H25" s="37" t="s">
        <v>73</v>
      </c>
      <c r="I25" s="40">
        <v>3153079491</v>
      </c>
      <c r="J25" s="41" t="s">
        <v>74</v>
      </c>
      <c r="K25" s="42">
        <v>500000</v>
      </c>
      <c r="L25" s="42">
        <f t="shared" si="0"/>
        <v>2195000</v>
      </c>
      <c r="M25" s="42" t="s">
        <v>141</v>
      </c>
      <c r="N25" s="42">
        <f t="shared" si="1"/>
        <v>285350</v>
      </c>
      <c r="O25" s="42" t="s">
        <v>124</v>
      </c>
      <c r="P25" s="43">
        <v>13</v>
      </c>
      <c r="Q25" s="44" t="s">
        <v>166</v>
      </c>
      <c r="R25" s="44" t="s">
        <v>167</v>
      </c>
      <c r="S25" s="4" t="s">
        <v>641</v>
      </c>
      <c r="T25" s="75"/>
      <c r="U25" s="37"/>
      <c r="V25" s="37"/>
      <c r="W25" s="37"/>
      <c r="X25" s="17" t="s">
        <v>108</v>
      </c>
    </row>
    <row r="26" spans="1:25" ht="30.75" thickBot="1" x14ac:dyDescent="0.3">
      <c r="A26" s="37" t="s">
        <v>91</v>
      </c>
      <c r="B26" s="38">
        <v>10122618</v>
      </c>
      <c r="C26" s="38" t="s">
        <v>72</v>
      </c>
      <c r="D26" s="39">
        <v>443</v>
      </c>
      <c r="E26" s="37" t="s">
        <v>92</v>
      </c>
      <c r="F26" s="37" t="s">
        <v>93</v>
      </c>
      <c r="G26" s="37" t="s">
        <v>89</v>
      </c>
      <c r="H26" s="37" t="s">
        <v>73</v>
      </c>
      <c r="I26" s="40">
        <v>3126876414</v>
      </c>
      <c r="J26" s="41" t="s">
        <v>94</v>
      </c>
      <c r="K26" s="42">
        <v>1000000</v>
      </c>
      <c r="L26" s="42">
        <f t="shared" si="0"/>
        <v>2890000</v>
      </c>
      <c r="M26" s="42" t="s">
        <v>142</v>
      </c>
      <c r="N26" s="42">
        <f t="shared" si="1"/>
        <v>375700</v>
      </c>
      <c r="O26" s="42" t="s">
        <v>125</v>
      </c>
      <c r="P26" s="43">
        <v>13</v>
      </c>
      <c r="Q26" s="44" t="s">
        <v>170</v>
      </c>
      <c r="R26" s="44" t="s">
        <v>171</v>
      </c>
      <c r="S26" s="4" t="s">
        <v>641</v>
      </c>
      <c r="T26" s="75">
        <v>1130000</v>
      </c>
      <c r="U26" s="46">
        <v>45008</v>
      </c>
      <c r="V26" s="37" t="s">
        <v>4</v>
      </c>
      <c r="W26" s="46">
        <v>45008</v>
      </c>
      <c r="X26" s="17"/>
    </row>
    <row r="27" spans="1:25" ht="30.75" thickBot="1" x14ac:dyDescent="0.3">
      <c r="A27" s="37" t="s">
        <v>105</v>
      </c>
      <c r="B27" s="38">
        <v>10078414</v>
      </c>
      <c r="C27" s="38" t="s">
        <v>72</v>
      </c>
      <c r="D27" s="39">
        <v>446</v>
      </c>
      <c r="E27" s="37" t="s">
        <v>106</v>
      </c>
      <c r="F27" s="37" t="s">
        <v>107</v>
      </c>
      <c r="G27" s="37" t="s">
        <v>72</v>
      </c>
      <c r="H27" s="37" t="s">
        <v>73</v>
      </c>
      <c r="I27" s="40">
        <v>3147799367</v>
      </c>
      <c r="J27" s="40"/>
      <c r="K27" s="42">
        <v>1000000</v>
      </c>
      <c r="L27" s="42">
        <f t="shared" si="0"/>
        <v>2890000</v>
      </c>
      <c r="M27" s="42" t="s">
        <v>142</v>
      </c>
      <c r="N27" s="42">
        <f t="shared" si="1"/>
        <v>375700</v>
      </c>
      <c r="O27" s="42" t="s">
        <v>125</v>
      </c>
      <c r="P27" s="43">
        <v>13</v>
      </c>
      <c r="Q27" s="44" t="s">
        <v>176</v>
      </c>
      <c r="R27" s="44" t="s">
        <v>177</v>
      </c>
      <c r="S27" s="4" t="s">
        <v>641</v>
      </c>
      <c r="T27" s="75">
        <v>1065000</v>
      </c>
      <c r="U27" s="46">
        <v>45009</v>
      </c>
      <c r="V27" s="37" t="s">
        <v>4</v>
      </c>
      <c r="W27" s="46">
        <v>45009</v>
      </c>
      <c r="X27" s="17"/>
    </row>
    <row r="28" spans="1:25" ht="30.75" thickBot="1" x14ac:dyDescent="0.3">
      <c r="A28" s="37" t="s">
        <v>203</v>
      </c>
      <c r="B28" s="38">
        <v>4730425</v>
      </c>
      <c r="C28" s="38" t="s">
        <v>204</v>
      </c>
      <c r="D28" s="39">
        <v>450</v>
      </c>
      <c r="E28" s="37" t="s">
        <v>205</v>
      </c>
      <c r="F28" s="37" t="s">
        <v>206</v>
      </c>
      <c r="G28" s="37" t="s">
        <v>72</v>
      </c>
      <c r="H28" s="37" t="s">
        <v>73</v>
      </c>
      <c r="I28" s="40">
        <v>3224075993</v>
      </c>
      <c r="J28" s="41" t="s">
        <v>207</v>
      </c>
      <c r="K28" s="42">
        <v>1000000</v>
      </c>
      <c r="L28" s="42">
        <f t="shared" si="0"/>
        <v>2890000</v>
      </c>
      <c r="M28" s="42" t="s">
        <v>142</v>
      </c>
      <c r="N28" s="42">
        <f t="shared" si="1"/>
        <v>375700</v>
      </c>
      <c r="O28" s="42" t="s">
        <v>125</v>
      </c>
      <c r="P28" s="43">
        <v>13</v>
      </c>
      <c r="Q28" s="44" t="s">
        <v>208</v>
      </c>
      <c r="R28" s="44" t="s">
        <v>209</v>
      </c>
      <c r="S28" s="4" t="s">
        <v>641</v>
      </c>
      <c r="T28" s="75">
        <v>1065000</v>
      </c>
      <c r="U28" s="46">
        <v>45009</v>
      </c>
      <c r="V28" s="37" t="s">
        <v>4</v>
      </c>
      <c r="W28" s="46">
        <v>45009</v>
      </c>
      <c r="X28" s="17"/>
    </row>
    <row r="29" spans="1:25" ht="30.75" thickBot="1" x14ac:dyDescent="0.3">
      <c r="A29" s="37" t="s">
        <v>212</v>
      </c>
      <c r="B29" s="38">
        <v>22196486</v>
      </c>
      <c r="C29" s="38" t="s">
        <v>213</v>
      </c>
      <c r="D29" s="39">
        <v>452</v>
      </c>
      <c r="E29" s="37" t="s">
        <v>214</v>
      </c>
      <c r="F29" s="37" t="s">
        <v>206</v>
      </c>
      <c r="G29" s="37" t="s">
        <v>72</v>
      </c>
      <c r="H29" s="37" t="s">
        <v>73</v>
      </c>
      <c r="I29" s="40">
        <v>3217631671</v>
      </c>
      <c r="J29" s="41" t="s">
        <v>215</v>
      </c>
      <c r="K29" s="42">
        <v>500000</v>
      </c>
      <c r="L29" s="42">
        <f t="shared" si="0"/>
        <v>2195000</v>
      </c>
      <c r="M29" s="42" t="s">
        <v>141</v>
      </c>
      <c r="N29" s="42">
        <f t="shared" si="1"/>
        <v>285350</v>
      </c>
      <c r="O29" s="42" t="s">
        <v>124</v>
      </c>
      <c r="P29" s="43">
        <v>13</v>
      </c>
      <c r="Q29" s="44" t="s">
        <v>208</v>
      </c>
      <c r="R29" s="44" t="s">
        <v>209</v>
      </c>
      <c r="S29" s="37" t="s">
        <v>641</v>
      </c>
      <c r="T29" s="75">
        <v>607000</v>
      </c>
      <c r="U29" s="46">
        <v>45009</v>
      </c>
      <c r="V29" s="37" t="s">
        <v>4</v>
      </c>
      <c r="W29" s="46">
        <v>45009</v>
      </c>
      <c r="X29" s="17"/>
      <c r="Y29" t="s">
        <v>316</v>
      </c>
    </row>
    <row r="30" spans="1:25" ht="30.75" thickBot="1" x14ac:dyDescent="0.3">
      <c r="A30" s="27" t="s">
        <v>99</v>
      </c>
      <c r="B30" s="28">
        <v>84009805</v>
      </c>
      <c r="C30" s="28" t="s">
        <v>100</v>
      </c>
      <c r="D30" s="29">
        <v>445</v>
      </c>
      <c r="E30" s="27" t="s">
        <v>101</v>
      </c>
      <c r="F30" s="27" t="s">
        <v>102</v>
      </c>
      <c r="G30" s="27" t="s">
        <v>100</v>
      </c>
      <c r="H30" s="27" t="s">
        <v>103</v>
      </c>
      <c r="I30" s="30">
        <v>3104609448</v>
      </c>
      <c r="J30" s="35" t="s">
        <v>104</v>
      </c>
      <c r="K30" s="31">
        <v>1000000</v>
      </c>
      <c r="L30" s="31">
        <f t="shared" si="0"/>
        <v>2890000</v>
      </c>
      <c r="M30" s="31" t="s">
        <v>142</v>
      </c>
      <c r="N30" s="31">
        <f t="shared" si="1"/>
        <v>375700</v>
      </c>
      <c r="O30" s="31" t="s">
        <v>125</v>
      </c>
      <c r="P30" s="32">
        <v>13</v>
      </c>
      <c r="Q30" s="33" t="s">
        <v>174</v>
      </c>
      <c r="R30" s="33" t="s">
        <v>175</v>
      </c>
      <c r="S30" s="4" t="s">
        <v>641</v>
      </c>
      <c r="T30" s="74"/>
      <c r="U30" s="27"/>
      <c r="V30" s="27"/>
      <c r="W30" s="27"/>
      <c r="X30" s="17"/>
    </row>
    <row r="31" spans="1:25" ht="30.75" thickBot="1" x14ac:dyDescent="0.3">
      <c r="A31" s="27" t="s">
        <v>461</v>
      </c>
      <c r="B31" s="28">
        <v>10106423</v>
      </c>
      <c r="C31" s="28" t="s">
        <v>72</v>
      </c>
      <c r="D31" s="29" t="s">
        <v>570</v>
      </c>
      <c r="E31" s="27" t="s">
        <v>571</v>
      </c>
      <c r="F31" s="27" t="s">
        <v>463</v>
      </c>
      <c r="G31" s="27" t="s">
        <v>72</v>
      </c>
      <c r="H31" s="27" t="s">
        <v>73</v>
      </c>
      <c r="I31" s="30">
        <v>3108930471</v>
      </c>
      <c r="J31" s="35" t="s">
        <v>572</v>
      </c>
      <c r="K31" s="31">
        <v>8000000</v>
      </c>
      <c r="L31" s="31">
        <f t="shared" si="0"/>
        <v>12620000</v>
      </c>
      <c r="M31" s="31" t="s">
        <v>573</v>
      </c>
      <c r="N31" s="31">
        <f t="shared" si="1"/>
        <v>1640600</v>
      </c>
      <c r="O31" s="31" t="s">
        <v>574</v>
      </c>
      <c r="P31" s="32">
        <v>13</v>
      </c>
      <c r="Q31" s="33" t="s">
        <v>174</v>
      </c>
      <c r="R31" s="33" t="s">
        <v>175</v>
      </c>
      <c r="S31" s="34" t="s">
        <v>956</v>
      </c>
      <c r="T31" s="74"/>
      <c r="U31" s="27"/>
      <c r="V31" s="27"/>
      <c r="W31" s="27"/>
      <c r="X31" s="17" t="s">
        <v>553</v>
      </c>
    </row>
    <row r="32" spans="1:25" ht="30.75" thickBot="1" x14ac:dyDescent="0.3">
      <c r="A32" s="37" t="s">
        <v>34</v>
      </c>
      <c r="B32" s="38">
        <v>10060779</v>
      </c>
      <c r="C32" s="38" t="s">
        <v>72</v>
      </c>
      <c r="D32" s="39">
        <v>451</v>
      </c>
      <c r="E32" s="37" t="s">
        <v>210</v>
      </c>
      <c r="F32" s="37" t="s">
        <v>211</v>
      </c>
      <c r="G32" s="37" t="s">
        <v>89</v>
      </c>
      <c r="H32" s="37" t="s">
        <v>73</v>
      </c>
      <c r="I32" s="40">
        <v>3178487073</v>
      </c>
      <c r="J32" s="40"/>
      <c r="K32" s="42">
        <v>200000</v>
      </c>
      <c r="L32" s="42">
        <f t="shared" si="0"/>
        <v>1778000</v>
      </c>
      <c r="M32" s="42" t="s">
        <v>144</v>
      </c>
      <c r="N32" s="42">
        <f t="shared" si="1"/>
        <v>231140</v>
      </c>
      <c r="O32" s="42" t="s">
        <v>127</v>
      </c>
      <c r="P32" s="43">
        <v>13</v>
      </c>
      <c r="Q32" s="44" t="s">
        <v>208</v>
      </c>
      <c r="R32" s="44" t="s">
        <v>209</v>
      </c>
      <c r="S32" s="4" t="s">
        <v>641</v>
      </c>
      <c r="T32" s="75">
        <v>339000</v>
      </c>
      <c r="U32" s="46">
        <v>45015</v>
      </c>
      <c r="V32" s="37" t="s">
        <v>4</v>
      </c>
      <c r="W32" s="46">
        <v>45015</v>
      </c>
      <c r="X32" s="17"/>
    </row>
    <row r="33" spans="1:25" ht="45" x14ac:dyDescent="0.25">
      <c r="A33" s="27" t="s">
        <v>109</v>
      </c>
      <c r="B33" s="28">
        <v>5756175</v>
      </c>
      <c r="C33" s="28" t="s">
        <v>110</v>
      </c>
      <c r="D33" s="29">
        <v>447</v>
      </c>
      <c r="E33" s="27" t="s">
        <v>111</v>
      </c>
      <c r="F33" s="27" t="s">
        <v>112</v>
      </c>
      <c r="G33" s="27" t="s">
        <v>72</v>
      </c>
      <c r="H33" s="27" t="s">
        <v>73</v>
      </c>
      <c r="I33" s="30">
        <v>3226012060</v>
      </c>
      <c r="J33" s="35" t="s">
        <v>196</v>
      </c>
      <c r="K33" s="31">
        <v>1155000</v>
      </c>
      <c r="L33" s="31">
        <f t="shared" si="0"/>
        <v>3105450</v>
      </c>
      <c r="M33" s="31" t="s">
        <v>149</v>
      </c>
      <c r="N33" s="31">
        <f t="shared" si="1"/>
        <v>403708.5</v>
      </c>
      <c r="O33" s="31" t="s">
        <v>132</v>
      </c>
      <c r="P33" s="32">
        <v>13</v>
      </c>
      <c r="Q33" s="33" t="s">
        <v>178</v>
      </c>
      <c r="R33" s="33" t="s">
        <v>179</v>
      </c>
      <c r="S33" s="34" t="s">
        <v>956</v>
      </c>
      <c r="T33" s="74"/>
      <c r="U33" s="27"/>
      <c r="V33" s="27"/>
      <c r="W33" s="27"/>
      <c r="X33" s="17"/>
    </row>
    <row r="34" spans="1:25" ht="45" x14ac:dyDescent="0.25">
      <c r="A34" s="27" t="s">
        <v>113</v>
      </c>
      <c r="B34" s="28">
        <v>7521602</v>
      </c>
      <c r="C34" s="28" t="s">
        <v>114</v>
      </c>
      <c r="D34" s="29">
        <v>448</v>
      </c>
      <c r="E34" s="27" t="s">
        <v>115</v>
      </c>
      <c r="F34" s="27" t="s">
        <v>116</v>
      </c>
      <c r="G34" s="27" t="s">
        <v>72</v>
      </c>
      <c r="H34" s="27" t="s">
        <v>73</v>
      </c>
      <c r="I34" s="30">
        <v>3206263924</v>
      </c>
      <c r="J34" s="35" t="s">
        <v>197</v>
      </c>
      <c r="K34" s="31">
        <v>242000</v>
      </c>
      <c r="L34" s="31">
        <f t="shared" ref="L34:L54" si="2">(((K34*0.13))*3+1500000)+K34</f>
        <v>1836380</v>
      </c>
      <c r="M34" s="31" t="s">
        <v>150</v>
      </c>
      <c r="N34" s="31">
        <f t="shared" ref="N34:N54" si="3">(L34*0.13)</f>
        <v>238729.4</v>
      </c>
      <c r="O34" s="31" t="s">
        <v>133</v>
      </c>
      <c r="P34" s="32">
        <v>13</v>
      </c>
      <c r="Q34" s="33" t="s">
        <v>178</v>
      </c>
      <c r="R34" s="33" t="s">
        <v>179</v>
      </c>
      <c r="S34" s="34" t="s">
        <v>956</v>
      </c>
      <c r="T34" s="74"/>
      <c r="U34" s="27"/>
      <c r="V34" s="27"/>
      <c r="W34" s="27"/>
      <c r="X34" s="17"/>
    </row>
    <row r="35" spans="1:25" ht="30.75" thickBot="1" x14ac:dyDescent="0.3">
      <c r="A35" s="27" t="s">
        <v>193</v>
      </c>
      <c r="B35" s="28">
        <v>1088353324</v>
      </c>
      <c r="C35" s="28" t="s">
        <v>72</v>
      </c>
      <c r="D35" s="29">
        <v>449</v>
      </c>
      <c r="E35" s="27" t="s">
        <v>194</v>
      </c>
      <c r="F35" s="27" t="s">
        <v>195</v>
      </c>
      <c r="G35" s="27" t="s">
        <v>72</v>
      </c>
      <c r="H35" s="27" t="s">
        <v>73</v>
      </c>
      <c r="I35" s="30">
        <v>3145587208</v>
      </c>
      <c r="J35" s="35" t="s">
        <v>198</v>
      </c>
      <c r="K35" s="31">
        <v>1200000</v>
      </c>
      <c r="L35" s="31">
        <f t="shared" si="2"/>
        <v>3168000</v>
      </c>
      <c r="M35" s="31" t="s">
        <v>199</v>
      </c>
      <c r="N35" s="31">
        <f t="shared" si="3"/>
        <v>411840</v>
      </c>
      <c r="O35" s="31" t="s">
        <v>200</v>
      </c>
      <c r="P35" s="32">
        <v>13</v>
      </c>
      <c r="Q35" s="33" t="s">
        <v>201</v>
      </c>
      <c r="R35" s="33" t="s">
        <v>202</v>
      </c>
      <c r="S35" s="34" t="s">
        <v>956</v>
      </c>
      <c r="T35" s="74"/>
      <c r="U35" s="27"/>
      <c r="V35" s="27"/>
      <c r="W35" s="27"/>
      <c r="X35" s="17"/>
      <c r="Y35" t="s">
        <v>317</v>
      </c>
    </row>
    <row r="36" spans="1:25" ht="30.75" thickBot="1" x14ac:dyDescent="0.3">
      <c r="A36" s="37" t="s">
        <v>274</v>
      </c>
      <c r="B36" s="38">
        <v>10071470</v>
      </c>
      <c r="C36" s="38" t="s">
        <v>72</v>
      </c>
      <c r="D36" s="39">
        <v>457</v>
      </c>
      <c r="E36" s="37" t="s">
        <v>291</v>
      </c>
      <c r="F36" s="37" t="s">
        <v>292</v>
      </c>
      <c r="G36" s="37" t="s">
        <v>89</v>
      </c>
      <c r="H36" s="37" t="s">
        <v>73</v>
      </c>
      <c r="I36" s="40">
        <v>3014843322</v>
      </c>
      <c r="J36" s="41" t="s">
        <v>286</v>
      </c>
      <c r="K36" s="42">
        <v>4000000</v>
      </c>
      <c r="L36" s="42">
        <f t="shared" si="2"/>
        <v>7060000</v>
      </c>
      <c r="M36" s="42" t="s">
        <v>287</v>
      </c>
      <c r="N36" s="42">
        <f t="shared" si="3"/>
        <v>917800</v>
      </c>
      <c r="O36" s="42" t="s">
        <v>288</v>
      </c>
      <c r="P36" s="43">
        <v>13</v>
      </c>
      <c r="Q36" s="44" t="s">
        <v>289</v>
      </c>
      <c r="R36" s="44" t="s">
        <v>290</v>
      </c>
      <c r="S36" s="4" t="s">
        <v>641</v>
      </c>
      <c r="T36" s="75">
        <v>4260000</v>
      </c>
      <c r="U36" s="46">
        <v>45029</v>
      </c>
      <c r="V36" s="37" t="s">
        <v>4</v>
      </c>
      <c r="W36" s="46">
        <v>45029</v>
      </c>
      <c r="X36" s="77"/>
    </row>
    <row r="37" spans="1:25" ht="45.75" thickBot="1" x14ac:dyDescent="0.3">
      <c r="A37" s="1" t="s">
        <v>279</v>
      </c>
      <c r="B37" s="2">
        <v>1037584477</v>
      </c>
      <c r="C37" s="2" t="s">
        <v>280</v>
      </c>
      <c r="D37" s="3">
        <v>456</v>
      </c>
      <c r="E37" s="4" t="s">
        <v>283</v>
      </c>
      <c r="F37" s="4" t="s">
        <v>284</v>
      </c>
      <c r="G37" s="4" t="s">
        <v>72</v>
      </c>
      <c r="H37" s="4" t="s">
        <v>73</v>
      </c>
      <c r="I37" s="5">
        <v>3005363030</v>
      </c>
      <c r="J37" s="41" t="s">
        <v>285</v>
      </c>
      <c r="K37" s="42">
        <v>6000000</v>
      </c>
      <c r="L37" s="42">
        <f t="shared" si="2"/>
        <v>9840000</v>
      </c>
      <c r="M37" s="42" t="s">
        <v>281</v>
      </c>
      <c r="N37" s="42">
        <f t="shared" si="3"/>
        <v>1279200</v>
      </c>
      <c r="O37" s="42" t="s">
        <v>282</v>
      </c>
      <c r="P37" s="43">
        <v>13</v>
      </c>
      <c r="Q37" s="44" t="s">
        <v>277</v>
      </c>
      <c r="R37" s="44" t="s">
        <v>278</v>
      </c>
      <c r="S37" s="130" t="s">
        <v>956</v>
      </c>
      <c r="T37" s="75">
        <v>6480000</v>
      </c>
      <c r="U37" s="46">
        <v>45038</v>
      </c>
      <c r="V37" s="37" t="s">
        <v>365</v>
      </c>
      <c r="W37" s="46">
        <v>45038</v>
      </c>
      <c r="X37" s="77" t="s">
        <v>366</v>
      </c>
    </row>
    <row r="38" spans="1:25" ht="45.75" thickBot="1" x14ac:dyDescent="0.3">
      <c r="A38" s="37" t="s">
        <v>311</v>
      </c>
      <c r="B38" s="38">
        <v>10081308</v>
      </c>
      <c r="C38" s="38" t="s">
        <v>72</v>
      </c>
      <c r="D38" s="39">
        <v>461</v>
      </c>
      <c r="E38" s="37" t="s">
        <v>312</v>
      </c>
      <c r="F38" s="37" t="s">
        <v>313</v>
      </c>
      <c r="G38" s="37" t="s">
        <v>72</v>
      </c>
      <c r="H38" s="37" t="s">
        <v>73</v>
      </c>
      <c r="I38" s="40">
        <v>3215592020</v>
      </c>
      <c r="J38" s="41" t="s">
        <v>314</v>
      </c>
      <c r="K38" s="42">
        <v>5000000</v>
      </c>
      <c r="L38" s="42">
        <f t="shared" si="2"/>
        <v>8450000</v>
      </c>
      <c r="M38" s="42" t="s">
        <v>146</v>
      </c>
      <c r="N38" s="42">
        <f t="shared" si="3"/>
        <v>1098500</v>
      </c>
      <c r="O38" s="42" t="s">
        <v>129</v>
      </c>
      <c r="P38" s="43">
        <v>13</v>
      </c>
      <c r="Q38" s="44" t="s">
        <v>305</v>
      </c>
      <c r="R38" s="44" t="s">
        <v>306</v>
      </c>
      <c r="S38" s="4" t="s">
        <v>641</v>
      </c>
      <c r="T38" s="75">
        <v>5650000</v>
      </c>
      <c r="U38" s="46">
        <v>45048</v>
      </c>
      <c r="V38" s="37" t="s">
        <v>4</v>
      </c>
      <c r="W38" s="46">
        <v>45048</v>
      </c>
      <c r="X38" s="17" t="s">
        <v>375</v>
      </c>
    </row>
    <row r="39" spans="1:25" ht="30.75" thickBot="1" x14ac:dyDescent="0.3">
      <c r="A39" s="27" t="s">
        <v>216</v>
      </c>
      <c r="B39" s="28">
        <v>6285978</v>
      </c>
      <c r="C39" s="28" t="s">
        <v>217</v>
      </c>
      <c r="D39" s="29">
        <v>453</v>
      </c>
      <c r="E39" s="27" t="s">
        <v>218</v>
      </c>
      <c r="F39" s="27" t="s">
        <v>219</v>
      </c>
      <c r="G39" s="27" t="s">
        <v>217</v>
      </c>
      <c r="H39" s="27" t="s">
        <v>220</v>
      </c>
      <c r="I39" s="30">
        <v>3136747705</v>
      </c>
      <c r="J39" s="35" t="s">
        <v>223</v>
      </c>
      <c r="K39" s="31">
        <v>500000</v>
      </c>
      <c r="L39" s="31">
        <f t="shared" si="2"/>
        <v>2195000</v>
      </c>
      <c r="M39" s="31" t="s">
        <v>142</v>
      </c>
      <c r="N39" s="31">
        <f t="shared" si="3"/>
        <v>285350</v>
      </c>
      <c r="O39" s="31" t="s">
        <v>125</v>
      </c>
      <c r="P39" s="32">
        <v>13</v>
      </c>
      <c r="Q39" s="33" t="s">
        <v>221</v>
      </c>
      <c r="R39" s="33" t="s">
        <v>222</v>
      </c>
      <c r="S39" s="4" t="s">
        <v>641</v>
      </c>
      <c r="T39" s="74"/>
      <c r="U39" s="27"/>
      <c r="V39" s="27"/>
      <c r="W39" s="27"/>
      <c r="X39" s="17"/>
    </row>
    <row r="40" spans="1:25" ht="45.75" thickBot="1" x14ac:dyDescent="0.3">
      <c r="A40" s="27" t="s">
        <v>224</v>
      </c>
      <c r="B40" s="28">
        <v>1087994842</v>
      </c>
      <c r="C40" s="28" t="s">
        <v>89</v>
      </c>
      <c r="D40" s="29">
        <v>509</v>
      </c>
      <c r="E40" s="27" t="s">
        <v>230</v>
      </c>
      <c r="F40" s="27" t="s">
        <v>229</v>
      </c>
      <c r="G40" s="27" t="s">
        <v>72</v>
      </c>
      <c r="H40" s="27" t="s">
        <v>73</v>
      </c>
      <c r="I40" s="30">
        <v>3023016277</v>
      </c>
      <c r="J40" s="35" t="s">
        <v>231</v>
      </c>
      <c r="K40" s="31">
        <v>4560000</v>
      </c>
      <c r="L40" s="31">
        <f t="shared" si="2"/>
        <v>7838400</v>
      </c>
      <c r="M40" s="31" t="s">
        <v>225</v>
      </c>
      <c r="N40" s="31">
        <f t="shared" si="3"/>
        <v>1018992</v>
      </c>
      <c r="O40" s="31" t="s">
        <v>226</v>
      </c>
      <c r="P40" s="32">
        <v>13</v>
      </c>
      <c r="Q40" s="33" t="s">
        <v>227</v>
      </c>
      <c r="R40" s="33" t="s">
        <v>228</v>
      </c>
      <c r="S40" s="4" t="s">
        <v>641</v>
      </c>
      <c r="T40" s="74"/>
      <c r="U40" s="27"/>
      <c r="V40" s="27"/>
      <c r="W40" s="27"/>
      <c r="X40" s="17"/>
    </row>
    <row r="41" spans="1:25" ht="30.75" thickBot="1" x14ac:dyDescent="0.3">
      <c r="A41" s="27" t="s">
        <v>91</v>
      </c>
      <c r="B41" s="28">
        <v>10122618</v>
      </c>
      <c r="C41" s="28" t="s">
        <v>72</v>
      </c>
      <c r="D41" s="29">
        <v>454</v>
      </c>
      <c r="E41" s="27" t="s">
        <v>92</v>
      </c>
      <c r="F41" s="27" t="s">
        <v>93</v>
      </c>
      <c r="G41" s="27" t="s">
        <v>89</v>
      </c>
      <c r="H41" s="27" t="s">
        <v>73</v>
      </c>
      <c r="I41" s="30" t="s">
        <v>315</v>
      </c>
      <c r="J41" s="35" t="s">
        <v>94</v>
      </c>
      <c r="K41" s="31">
        <v>100000</v>
      </c>
      <c r="L41" s="31">
        <f t="shared" si="2"/>
        <v>1639000</v>
      </c>
      <c r="M41" s="31"/>
      <c r="N41" s="31">
        <f t="shared" si="3"/>
        <v>213070</v>
      </c>
      <c r="O41" s="31"/>
      <c r="P41" s="32"/>
      <c r="Q41" s="33"/>
      <c r="R41" s="33"/>
      <c r="S41" s="34"/>
      <c r="T41" s="74"/>
      <c r="U41" s="27"/>
      <c r="V41" s="27"/>
      <c r="W41" s="27"/>
      <c r="X41" s="17"/>
    </row>
    <row r="42" spans="1:25" ht="30.75" thickBot="1" x14ac:dyDescent="0.3">
      <c r="A42" s="27" t="s">
        <v>113</v>
      </c>
      <c r="B42" s="28">
        <v>7521602</v>
      </c>
      <c r="C42" s="28" t="s">
        <v>114</v>
      </c>
      <c r="D42" s="29">
        <v>455</v>
      </c>
      <c r="E42" s="27" t="s">
        <v>115</v>
      </c>
      <c r="F42" s="27" t="s">
        <v>116</v>
      </c>
      <c r="G42" s="27" t="s">
        <v>72</v>
      </c>
      <c r="H42" s="27" t="s">
        <v>73</v>
      </c>
      <c r="I42" s="30">
        <v>3206263924</v>
      </c>
      <c r="J42" s="35" t="s">
        <v>197</v>
      </c>
      <c r="K42" s="31">
        <v>400000</v>
      </c>
      <c r="L42" s="31">
        <f t="shared" si="2"/>
        <v>2056000</v>
      </c>
      <c r="M42" s="31" t="s">
        <v>276</v>
      </c>
      <c r="N42" s="31">
        <f t="shared" si="3"/>
        <v>267280</v>
      </c>
      <c r="O42" s="31" t="s">
        <v>122</v>
      </c>
      <c r="P42" s="32">
        <v>13</v>
      </c>
      <c r="Q42" s="33" t="s">
        <v>277</v>
      </c>
      <c r="R42" s="33" t="s">
        <v>278</v>
      </c>
      <c r="S42" s="4" t="s">
        <v>641</v>
      </c>
      <c r="T42" s="74"/>
      <c r="U42" s="27"/>
      <c r="V42" s="27"/>
      <c r="W42" s="27"/>
      <c r="X42" s="17"/>
    </row>
    <row r="43" spans="1:25" ht="30.75" thickBot="1" x14ac:dyDescent="0.3">
      <c r="A43" s="37" t="s">
        <v>7</v>
      </c>
      <c r="B43" s="38">
        <v>94229441</v>
      </c>
      <c r="C43" s="38"/>
      <c r="D43" s="39">
        <v>458</v>
      </c>
      <c r="E43" s="37" t="s">
        <v>293</v>
      </c>
      <c r="F43" s="37" t="s">
        <v>294</v>
      </c>
      <c r="G43" s="37" t="s">
        <v>217</v>
      </c>
      <c r="H43" s="37" t="s">
        <v>220</v>
      </c>
      <c r="I43" s="40">
        <v>3185376934</v>
      </c>
      <c r="J43" s="41" t="s">
        <v>296</v>
      </c>
      <c r="K43" s="42">
        <v>1000000</v>
      </c>
      <c r="L43" s="42">
        <f t="shared" si="2"/>
        <v>2890000</v>
      </c>
      <c r="M43" s="42" t="s">
        <v>142</v>
      </c>
      <c r="N43" s="42">
        <f t="shared" si="3"/>
        <v>375700</v>
      </c>
      <c r="O43" s="42" t="s">
        <v>125</v>
      </c>
      <c r="P43" s="43">
        <v>13</v>
      </c>
      <c r="Q43" s="44" t="s">
        <v>295</v>
      </c>
      <c r="R43" s="44" t="s">
        <v>169</v>
      </c>
      <c r="S43" s="37" t="s">
        <v>641</v>
      </c>
      <c r="T43" s="75">
        <v>615000</v>
      </c>
      <c r="U43" s="46">
        <v>45049</v>
      </c>
      <c r="V43" s="37" t="s">
        <v>20</v>
      </c>
      <c r="W43" s="46">
        <v>45049</v>
      </c>
      <c r="X43" s="17"/>
    </row>
    <row r="44" spans="1:25" ht="45.75" thickBot="1" x14ac:dyDescent="0.3">
      <c r="A44" s="37" t="s">
        <v>297</v>
      </c>
      <c r="B44" s="38">
        <v>42090888</v>
      </c>
      <c r="C44" s="38" t="s">
        <v>72</v>
      </c>
      <c r="D44" s="39">
        <v>459</v>
      </c>
      <c r="E44" s="37" t="s">
        <v>298</v>
      </c>
      <c r="F44" s="37" t="s">
        <v>299</v>
      </c>
      <c r="G44" s="37" t="s">
        <v>72</v>
      </c>
      <c r="H44" s="37" t="s">
        <v>73</v>
      </c>
      <c r="I44" s="40">
        <v>3128772642</v>
      </c>
      <c r="J44" s="41" t="s">
        <v>215</v>
      </c>
      <c r="K44" s="42">
        <v>350000</v>
      </c>
      <c r="L44" s="42">
        <f t="shared" si="2"/>
        <v>1986500</v>
      </c>
      <c r="M44" s="42" t="s">
        <v>148</v>
      </c>
      <c r="N44" s="42">
        <f t="shared" si="3"/>
        <v>258245</v>
      </c>
      <c r="O44" s="42" t="s">
        <v>131</v>
      </c>
      <c r="P44" s="43">
        <v>13</v>
      </c>
      <c r="Q44" s="44" t="s">
        <v>295</v>
      </c>
      <c r="R44" s="44" t="s">
        <v>169</v>
      </c>
      <c r="S44" s="4" t="s">
        <v>641</v>
      </c>
      <c r="T44" s="75">
        <v>395500</v>
      </c>
      <c r="U44" s="46">
        <v>45050</v>
      </c>
      <c r="V44" s="37" t="s">
        <v>20</v>
      </c>
      <c r="W44" s="46">
        <v>45050</v>
      </c>
      <c r="X44" s="17"/>
    </row>
    <row r="45" spans="1:25" ht="45.75" thickBot="1" x14ac:dyDescent="0.3">
      <c r="A45" s="8" t="s">
        <v>95</v>
      </c>
      <c r="B45" s="9">
        <v>18501536</v>
      </c>
      <c r="C45" s="9" t="s">
        <v>89</v>
      </c>
      <c r="D45" s="10">
        <v>444</v>
      </c>
      <c r="E45" s="11" t="s">
        <v>96</v>
      </c>
      <c r="F45" s="11" t="s">
        <v>97</v>
      </c>
      <c r="G45" s="11" t="s">
        <v>72</v>
      </c>
      <c r="H45" s="11" t="s">
        <v>73</v>
      </c>
      <c r="I45" s="12">
        <v>3235274153</v>
      </c>
      <c r="J45" s="35" t="s">
        <v>98</v>
      </c>
      <c r="K45" s="31">
        <v>350000</v>
      </c>
      <c r="L45" s="31">
        <f t="shared" si="2"/>
        <v>1986500</v>
      </c>
      <c r="M45" s="31" t="s">
        <v>148</v>
      </c>
      <c r="N45" s="31">
        <f t="shared" si="3"/>
        <v>258245</v>
      </c>
      <c r="O45" s="31" t="s">
        <v>131</v>
      </c>
      <c r="P45" s="32">
        <v>13</v>
      </c>
      <c r="Q45" s="33" t="s">
        <v>172</v>
      </c>
      <c r="R45" s="33" t="s">
        <v>173</v>
      </c>
      <c r="S45" s="131" t="s">
        <v>956</v>
      </c>
      <c r="T45" s="74">
        <v>140000</v>
      </c>
      <c r="U45" s="76">
        <v>45056</v>
      </c>
      <c r="V45" s="27" t="s">
        <v>396</v>
      </c>
      <c r="W45" s="27"/>
      <c r="X45" s="17"/>
    </row>
    <row r="46" spans="1:25" ht="30.75" thickBot="1" x14ac:dyDescent="0.3">
      <c r="A46" s="37" t="s">
        <v>376</v>
      </c>
      <c r="B46" s="38">
        <v>29770026</v>
      </c>
      <c r="C46" s="38" t="s">
        <v>320</v>
      </c>
      <c r="D46" s="39">
        <v>472</v>
      </c>
      <c r="E46" s="37" t="s">
        <v>377</v>
      </c>
      <c r="F46" s="37" t="s">
        <v>378</v>
      </c>
      <c r="G46" s="37" t="s">
        <v>320</v>
      </c>
      <c r="H46" s="37" t="s">
        <v>220</v>
      </c>
      <c r="I46" s="40">
        <v>3205616016</v>
      </c>
      <c r="J46" s="41" t="s">
        <v>380</v>
      </c>
      <c r="K46" s="42">
        <v>1000000</v>
      </c>
      <c r="L46" s="42">
        <f t="shared" si="2"/>
        <v>2890000</v>
      </c>
      <c r="M46" s="42" t="s">
        <v>142</v>
      </c>
      <c r="N46" s="42">
        <f t="shared" si="3"/>
        <v>375700</v>
      </c>
      <c r="O46" s="42" t="s">
        <v>125</v>
      </c>
      <c r="P46" s="43">
        <v>13</v>
      </c>
      <c r="Q46" s="44" t="s">
        <v>185</v>
      </c>
      <c r="R46" s="44" t="s">
        <v>379</v>
      </c>
      <c r="S46" s="4" t="s">
        <v>641</v>
      </c>
      <c r="T46" s="75">
        <v>1100000</v>
      </c>
      <c r="U46" s="46">
        <v>45057</v>
      </c>
      <c r="V46" s="37" t="s">
        <v>20</v>
      </c>
      <c r="W46" s="46">
        <v>45057</v>
      </c>
      <c r="X46" s="77"/>
    </row>
    <row r="47" spans="1:25" ht="45" x14ac:dyDescent="0.25">
      <c r="A47" s="37" t="s">
        <v>68</v>
      </c>
      <c r="B47" s="38">
        <v>4509079</v>
      </c>
      <c r="C47" s="38" t="s">
        <v>72</v>
      </c>
      <c r="D47" s="39">
        <v>478</v>
      </c>
      <c r="E47" s="37" t="s">
        <v>407</v>
      </c>
      <c r="F47" s="37" t="s">
        <v>406</v>
      </c>
      <c r="G47" s="37" t="s">
        <v>72</v>
      </c>
      <c r="H47" s="37" t="s">
        <v>73</v>
      </c>
      <c r="I47" s="40">
        <v>3153079441</v>
      </c>
      <c r="J47" s="41" t="s">
        <v>74</v>
      </c>
      <c r="K47" s="42">
        <v>350000</v>
      </c>
      <c r="L47" s="42">
        <f t="shared" si="2"/>
        <v>1986500</v>
      </c>
      <c r="M47" s="42" t="s">
        <v>148</v>
      </c>
      <c r="N47" s="42">
        <f t="shared" si="3"/>
        <v>258245</v>
      </c>
      <c r="O47" s="42" t="s">
        <v>131</v>
      </c>
      <c r="P47" s="43">
        <v>13</v>
      </c>
      <c r="Q47" s="44" t="s">
        <v>408</v>
      </c>
      <c r="R47" s="44" t="s">
        <v>409</v>
      </c>
      <c r="S47" s="37" t="s">
        <v>641</v>
      </c>
      <c r="T47" s="75">
        <v>395500</v>
      </c>
      <c r="U47" s="46">
        <v>45070</v>
      </c>
      <c r="V47" s="37" t="s">
        <v>20</v>
      </c>
      <c r="W47" s="46">
        <v>45070</v>
      </c>
      <c r="X47" s="77"/>
    </row>
    <row r="48" spans="1:25" ht="30.75" thickBot="1" x14ac:dyDescent="0.3">
      <c r="A48" s="27" t="s">
        <v>307</v>
      </c>
      <c r="B48" s="28">
        <v>29063030</v>
      </c>
      <c r="C48" s="28" t="s">
        <v>301</v>
      </c>
      <c r="D48" s="29">
        <v>511</v>
      </c>
      <c r="E48" s="27" t="s">
        <v>308</v>
      </c>
      <c r="F48" s="27" t="s">
        <v>309</v>
      </c>
      <c r="G48" s="27" t="s">
        <v>301</v>
      </c>
      <c r="H48" s="27" t="s">
        <v>220</v>
      </c>
      <c r="I48" s="30">
        <v>3168409928</v>
      </c>
      <c r="J48" s="35" t="s">
        <v>304</v>
      </c>
      <c r="K48" s="31">
        <v>2000000</v>
      </c>
      <c r="L48" s="31">
        <f t="shared" si="2"/>
        <v>4280000</v>
      </c>
      <c r="M48" s="31" t="s">
        <v>137</v>
      </c>
      <c r="N48" s="31">
        <f t="shared" si="3"/>
        <v>556400</v>
      </c>
      <c r="O48" s="31" t="s">
        <v>121</v>
      </c>
      <c r="P48" s="32">
        <v>13</v>
      </c>
      <c r="Q48" s="33" t="s">
        <v>305</v>
      </c>
      <c r="R48" s="33" t="s">
        <v>310</v>
      </c>
      <c r="S48" s="34" t="s">
        <v>956</v>
      </c>
      <c r="T48" s="74"/>
      <c r="U48" s="27"/>
      <c r="V48" s="27"/>
      <c r="W48" s="27"/>
      <c r="X48" s="17"/>
      <c r="Y48" t="s">
        <v>961</v>
      </c>
    </row>
    <row r="49" spans="1:25" ht="30.75" thickBot="1" x14ac:dyDescent="0.3">
      <c r="A49" s="27" t="s">
        <v>300</v>
      </c>
      <c r="B49" s="28">
        <v>1107083239</v>
      </c>
      <c r="C49" s="28" t="s">
        <v>301</v>
      </c>
      <c r="D49" s="29">
        <v>510</v>
      </c>
      <c r="E49" s="27" t="s">
        <v>302</v>
      </c>
      <c r="F49" s="27" t="s">
        <v>303</v>
      </c>
      <c r="G49" s="27" t="s">
        <v>72</v>
      </c>
      <c r="H49" s="27" t="s">
        <v>73</v>
      </c>
      <c r="I49" s="30">
        <v>3105343799</v>
      </c>
      <c r="J49" s="35" t="s">
        <v>304</v>
      </c>
      <c r="K49" s="31">
        <v>2000000</v>
      </c>
      <c r="L49" s="31">
        <f t="shared" si="2"/>
        <v>4280000</v>
      </c>
      <c r="M49" s="31" t="s">
        <v>137</v>
      </c>
      <c r="N49" s="31">
        <f t="shared" si="3"/>
        <v>556400</v>
      </c>
      <c r="O49" s="31" t="s">
        <v>121</v>
      </c>
      <c r="P49" s="32">
        <v>13</v>
      </c>
      <c r="Q49" s="33" t="s">
        <v>447</v>
      </c>
      <c r="R49" s="33" t="s">
        <v>448</v>
      </c>
      <c r="S49" s="131" t="s">
        <v>956</v>
      </c>
      <c r="T49" s="74">
        <v>297000</v>
      </c>
      <c r="U49" s="76">
        <v>45082</v>
      </c>
      <c r="V49" s="27" t="s">
        <v>539</v>
      </c>
      <c r="W49" s="27"/>
      <c r="X49" s="17"/>
    </row>
    <row r="50" spans="1:25" ht="45.75" thickBot="1" x14ac:dyDescent="0.3">
      <c r="A50" s="27" t="s">
        <v>212</v>
      </c>
      <c r="B50" s="28">
        <v>22196486</v>
      </c>
      <c r="C50" s="28" t="s">
        <v>213</v>
      </c>
      <c r="D50" s="29">
        <v>416</v>
      </c>
      <c r="E50" s="27" t="s">
        <v>214</v>
      </c>
      <c r="F50" s="27" t="s">
        <v>206</v>
      </c>
      <c r="G50" s="27" t="s">
        <v>72</v>
      </c>
      <c r="H50" s="27" t="s">
        <v>73</v>
      </c>
      <c r="I50" s="78">
        <v>3217631671</v>
      </c>
      <c r="J50" s="35" t="s">
        <v>215</v>
      </c>
      <c r="K50" s="31">
        <v>6000000</v>
      </c>
      <c r="L50" s="31">
        <f t="shared" si="2"/>
        <v>9840000</v>
      </c>
      <c r="M50" s="31" t="s">
        <v>281</v>
      </c>
      <c r="N50" s="31">
        <f t="shared" si="3"/>
        <v>1279200</v>
      </c>
      <c r="O50" s="31" t="s">
        <v>282</v>
      </c>
      <c r="P50" s="32">
        <v>13</v>
      </c>
      <c r="Q50" s="33" t="s">
        <v>181</v>
      </c>
      <c r="R50" s="33" t="s">
        <v>318</v>
      </c>
      <c r="S50" s="4" t="s">
        <v>641</v>
      </c>
      <c r="T50" s="74"/>
      <c r="U50" s="27"/>
      <c r="V50" s="27"/>
      <c r="W50" s="27"/>
      <c r="X50" s="17"/>
    </row>
    <row r="51" spans="1:25" ht="30.75" thickBot="1" x14ac:dyDescent="0.3">
      <c r="A51" s="27" t="s">
        <v>328</v>
      </c>
      <c r="B51" s="28">
        <v>10532530</v>
      </c>
      <c r="C51" s="28" t="s">
        <v>72</v>
      </c>
      <c r="D51" s="29">
        <v>462</v>
      </c>
      <c r="E51" s="27" t="s">
        <v>329</v>
      </c>
      <c r="F51" s="27" t="s">
        <v>330</v>
      </c>
      <c r="G51" s="27" t="s">
        <v>217</v>
      </c>
      <c r="H51" s="27" t="s">
        <v>220</v>
      </c>
      <c r="I51" s="78">
        <v>3152645900</v>
      </c>
      <c r="J51" s="35"/>
      <c r="K51" s="31">
        <v>400000</v>
      </c>
      <c r="L51" s="31">
        <f t="shared" si="2"/>
        <v>2056000</v>
      </c>
      <c r="M51" s="31" t="s">
        <v>139</v>
      </c>
      <c r="N51" s="31">
        <f t="shared" si="3"/>
        <v>267280</v>
      </c>
      <c r="O51" s="31" t="s">
        <v>122</v>
      </c>
      <c r="P51" s="32">
        <v>13</v>
      </c>
      <c r="Q51" s="33" t="s">
        <v>182</v>
      </c>
      <c r="R51" s="33" t="s">
        <v>324</v>
      </c>
      <c r="S51" s="4" t="s">
        <v>641</v>
      </c>
      <c r="T51" s="74"/>
      <c r="U51" s="27"/>
      <c r="V51" s="27"/>
      <c r="W51" s="27"/>
      <c r="X51" s="17"/>
    </row>
    <row r="52" spans="1:25" ht="30.75" thickBot="1" x14ac:dyDescent="0.3">
      <c r="A52" s="37" t="s">
        <v>319</v>
      </c>
      <c r="B52" s="38">
        <v>29770801</v>
      </c>
      <c r="C52" s="38" t="s">
        <v>320</v>
      </c>
      <c r="D52" s="39">
        <v>463</v>
      </c>
      <c r="E52" s="37" t="s">
        <v>321</v>
      </c>
      <c r="F52" s="37" t="s">
        <v>322</v>
      </c>
      <c r="G52" s="37" t="s">
        <v>320</v>
      </c>
      <c r="H52" s="37" t="s">
        <v>220</v>
      </c>
      <c r="I52" s="40">
        <v>3177350102</v>
      </c>
      <c r="J52" s="41" t="s">
        <v>323</v>
      </c>
      <c r="K52" s="42">
        <v>2000000</v>
      </c>
      <c r="L52" s="42">
        <f t="shared" si="2"/>
        <v>4280000</v>
      </c>
      <c r="M52" s="42" t="s">
        <v>137</v>
      </c>
      <c r="N52" s="42">
        <f t="shared" si="3"/>
        <v>556400</v>
      </c>
      <c r="O52" s="42" t="s">
        <v>121</v>
      </c>
      <c r="P52" s="43">
        <v>13</v>
      </c>
      <c r="Q52" s="44" t="s">
        <v>182</v>
      </c>
      <c r="R52" s="44" t="s">
        <v>324</v>
      </c>
      <c r="S52" s="4" t="s">
        <v>641</v>
      </c>
      <c r="T52" s="75">
        <v>2520000</v>
      </c>
      <c r="U52" s="46">
        <v>45090</v>
      </c>
      <c r="V52" s="37" t="s">
        <v>4</v>
      </c>
      <c r="W52" s="46">
        <v>45090</v>
      </c>
      <c r="X52" s="77"/>
    </row>
    <row r="53" spans="1:25" ht="30.75" thickBot="1" x14ac:dyDescent="0.3">
      <c r="A53" s="27" t="s">
        <v>113</v>
      </c>
      <c r="B53" s="28">
        <v>7521602</v>
      </c>
      <c r="C53" s="28" t="s">
        <v>114</v>
      </c>
      <c r="D53" s="29">
        <v>464</v>
      </c>
      <c r="E53" s="27" t="s">
        <v>115</v>
      </c>
      <c r="F53" s="27" t="s">
        <v>116</v>
      </c>
      <c r="G53" s="27" t="s">
        <v>72</v>
      </c>
      <c r="H53" s="27" t="s">
        <v>73</v>
      </c>
      <c r="I53" s="30">
        <v>3206263924</v>
      </c>
      <c r="J53" s="35" t="s">
        <v>197</v>
      </c>
      <c r="K53" s="31">
        <v>100000</v>
      </c>
      <c r="L53" s="31">
        <f t="shared" si="2"/>
        <v>1639000</v>
      </c>
      <c r="M53" s="31" t="s">
        <v>325</v>
      </c>
      <c r="N53" s="31">
        <f t="shared" si="3"/>
        <v>213070</v>
      </c>
      <c r="O53" s="31" t="s">
        <v>326</v>
      </c>
      <c r="P53" s="32">
        <v>13</v>
      </c>
      <c r="Q53" s="33" t="s">
        <v>183</v>
      </c>
      <c r="R53" s="33" t="s">
        <v>327</v>
      </c>
      <c r="S53" s="4" t="s">
        <v>641</v>
      </c>
      <c r="T53" s="74"/>
      <c r="U53" s="27"/>
      <c r="V53" s="27"/>
      <c r="W53" s="27"/>
      <c r="X53" s="17"/>
    </row>
    <row r="54" spans="1:25" ht="45.75" thickBot="1" x14ac:dyDescent="0.3">
      <c r="A54" s="37" t="s">
        <v>319</v>
      </c>
      <c r="B54" s="38">
        <v>29770801</v>
      </c>
      <c r="C54" s="38" t="s">
        <v>320</v>
      </c>
      <c r="D54" s="39">
        <v>470</v>
      </c>
      <c r="E54" s="37" t="s">
        <v>321</v>
      </c>
      <c r="F54" s="37" t="s">
        <v>322</v>
      </c>
      <c r="G54" s="37" t="s">
        <v>320</v>
      </c>
      <c r="H54" s="37" t="s">
        <v>220</v>
      </c>
      <c r="I54" s="40">
        <v>3177350102</v>
      </c>
      <c r="J54" s="41" t="s">
        <v>323</v>
      </c>
      <c r="K54" s="42">
        <v>5000000</v>
      </c>
      <c r="L54" s="42">
        <f t="shared" si="2"/>
        <v>8450000</v>
      </c>
      <c r="M54" s="42" t="s">
        <v>146</v>
      </c>
      <c r="N54" s="42">
        <f t="shared" si="3"/>
        <v>1098500</v>
      </c>
      <c r="O54" s="42" t="s">
        <v>129</v>
      </c>
      <c r="P54" s="43">
        <v>13</v>
      </c>
      <c r="Q54" s="44" t="s">
        <v>367</v>
      </c>
      <c r="R54" s="44" t="s">
        <v>368</v>
      </c>
      <c r="S54" s="130" t="s">
        <v>640</v>
      </c>
      <c r="T54" s="75">
        <v>6000000</v>
      </c>
      <c r="U54" s="46">
        <v>45090</v>
      </c>
      <c r="V54" s="37" t="s">
        <v>4</v>
      </c>
      <c r="W54" s="46">
        <v>45090</v>
      </c>
      <c r="X54" s="77"/>
    </row>
    <row r="55" spans="1:25" ht="30" x14ac:dyDescent="0.25">
      <c r="A55" s="27" t="s">
        <v>337</v>
      </c>
      <c r="B55" s="28">
        <v>94463760</v>
      </c>
      <c r="C55" s="28" t="s">
        <v>339</v>
      </c>
      <c r="D55" s="29">
        <v>466</v>
      </c>
      <c r="E55" s="27" t="s">
        <v>340</v>
      </c>
      <c r="F55" s="27"/>
      <c r="G55" s="27" t="s">
        <v>72</v>
      </c>
      <c r="H55" s="27" t="s">
        <v>73</v>
      </c>
      <c r="I55" s="30">
        <v>3138092666</v>
      </c>
      <c r="J55" s="35" t="s">
        <v>338</v>
      </c>
      <c r="K55" s="31">
        <v>20000000</v>
      </c>
      <c r="L55" s="31">
        <f>(((K55*0.15))*3+1500000)+K55</f>
        <v>30500000</v>
      </c>
      <c r="M55" s="31" t="s">
        <v>354</v>
      </c>
      <c r="N55" s="31">
        <f>(L55*0.15)</f>
        <v>4575000</v>
      </c>
      <c r="O55" s="31" t="s">
        <v>355</v>
      </c>
      <c r="P55" s="32">
        <v>15</v>
      </c>
      <c r="Q55" s="33" t="s">
        <v>341</v>
      </c>
      <c r="R55" s="33" t="s">
        <v>342</v>
      </c>
      <c r="S55" s="34" t="s">
        <v>640</v>
      </c>
      <c r="T55" s="74"/>
      <c r="U55" s="27"/>
      <c r="V55" s="27"/>
      <c r="W55" s="27"/>
      <c r="X55" s="17" t="s">
        <v>363</v>
      </c>
      <c r="Y55" t="s">
        <v>958</v>
      </c>
    </row>
    <row r="56" spans="1:25" ht="30" x14ac:dyDescent="0.25">
      <c r="A56" s="79" t="s">
        <v>343</v>
      </c>
      <c r="B56" s="80">
        <v>1005094186</v>
      </c>
      <c r="C56" s="80" t="s">
        <v>114</v>
      </c>
      <c r="D56" s="81">
        <v>467</v>
      </c>
      <c r="E56" s="79" t="s">
        <v>344</v>
      </c>
      <c r="F56" s="79" t="s">
        <v>345</v>
      </c>
      <c r="G56" s="79" t="s">
        <v>72</v>
      </c>
      <c r="H56" s="79" t="s">
        <v>73</v>
      </c>
      <c r="I56" s="82">
        <v>3135283921</v>
      </c>
      <c r="J56" s="83" t="s">
        <v>346</v>
      </c>
      <c r="K56" s="84">
        <v>3000000</v>
      </c>
      <c r="L56" s="84">
        <f t="shared" ref="L56:L87" si="4">(((K56*0.13))*3+1500000)+K56</f>
        <v>5670000</v>
      </c>
      <c r="M56" s="84" t="s">
        <v>347</v>
      </c>
      <c r="N56" s="84">
        <f t="shared" ref="N56:N87" si="5">(L56*0.13)</f>
        <v>737100</v>
      </c>
      <c r="O56" s="84" t="s">
        <v>348</v>
      </c>
      <c r="P56" s="85">
        <v>6.5</v>
      </c>
      <c r="Q56" s="86" t="s">
        <v>341</v>
      </c>
      <c r="R56" s="86" t="s">
        <v>342</v>
      </c>
      <c r="S56" s="87" t="s">
        <v>956</v>
      </c>
      <c r="T56" s="88"/>
      <c r="U56" s="79"/>
      <c r="V56" s="79"/>
      <c r="W56" s="79"/>
      <c r="X56" s="89" t="s">
        <v>363</v>
      </c>
    </row>
    <row r="57" spans="1:25" ht="30" x14ac:dyDescent="0.25">
      <c r="A57" s="79" t="s">
        <v>349</v>
      </c>
      <c r="B57" s="80">
        <v>10135450</v>
      </c>
      <c r="C57" s="80" t="s">
        <v>350</v>
      </c>
      <c r="D57" s="81">
        <v>468</v>
      </c>
      <c r="E57" s="79" t="s">
        <v>351</v>
      </c>
      <c r="F57" s="79" t="s">
        <v>352</v>
      </c>
      <c r="G57" s="79" t="s">
        <v>72</v>
      </c>
      <c r="H57" s="79" t="s">
        <v>73</v>
      </c>
      <c r="I57" s="82">
        <v>3116009902</v>
      </c>
      <c r="J57" s="83" t="s">
        <v>353</v>
      </c>
      <c r="K57" s="84">
        <v>3000000</v>
      </c>
      <c r="L57" s="84">
        <f t="shared" si="4"/>
        <v>5670000</v>
      </c>
      <c r="M57" s="84" t="s">
        <v>347</v>
      </c>
      <c r="N57" s="84">
        <f t="shared" si="5"/>
        <v>737100</v>
      </c>
      <c r="O57" s="84" t="s">
        <v>348</v>
      </c>
      <c r="P57" s="85">
        <v>6.5</v>
      </c>
      <c r="Q57" s="86" t="s">
        <v>341</v>
      </c>
      <c r="R57" s="86" t="s">
        <v>342</v>
      </c>
      <c r="S57" s="87" t="s">
        <v>956</v>
      </c>
      <c r="T57" s="88"/>
      <c r="U57" s="79"/>
      <c r="V57" s="79"/>
      <c r="W57" s="79" t="s">
        <v>392</v>
      </c>
      <c r="X57" s="89"/>
    </row>
    <row r="58" spans="1:25" s="120" customFormat="1" ht="30" x14ac:dyDescent="0.25">
      <c r="A58" s="37" t="s">
        <v>331</v>
      </c>
      <c r="B58" s="38">
        <v>1414863</v>
      </c>
      <c r="C58" s="38" t="s">
        <v>82</v>
      </c>
      <c r="D58" s="39">
        <v>465</v>
      </c>
      <c r="E58" s="37" t="s">
        <v>332</v>
      </c>
      <c r="F58" s="37" t="s">
        <v>333</v>
      </c>
      <c r="G58" s="37" t="s">
        <v>72</v>
      </c>
      <c r="H58" s="37" t="s">
        <v>73</v>
      </c>
      <c r="I58" s="40">
        <v>3225532680</v>
      </c>
      <c r="J58" s="41" t="s">
        <v>334</v>
      </c>
      <c r="K58" s="42">
        <v>500000</v>
      </c>
      <c r="L58" s="42">
        <f t="shared" si="4"/>
        <v>2195000</v>
      </c>
      <c r="M58" s="42" t="s">
        <v>141</v>
      </c>
      <c r="N58" s="42">
        <f t="shared" si="5"/>
        <v>285350</v>
      </c>
      <c r="O58" s="42" t="s">
        <v>124</v>
      </c>
      <c r="P58" s="43">
        <v>13</v>
      </c>
      <c r="Q58" s="44" t="s">
        <v>335</v>
      </c>
      <c r="R58" s="44" t="s">
        <v>336</v>
      </c>
      <c r="S58" s="37" t="s">
        <v>641</v>
      </c>
      <c r="T58" s="75">
        <v>662500</v>
      </c>
      <c r="U58" s="46">
        <v>45106</v>
      </c>
      <c r="V58" s="37" t="s">
        <v>20</v>
      </c>
      <c r="W58" s="46">
        <v>45106</v>
      </c>
      <c r="X58" s="77"/>
    </row>
    <row r="59" spans="1:25" ht="30.75" thickBot="1" x14ac:dyDescent="0.3">
      <c r="A59" s="37" t="s">
        <v>498</v>
      </c>
      <c r="B59" s="38">
        <v>1414863</v>
      </c>
      <c r="C59" s="38" t="s">
        <v>501</v>
      </c>
      <c r="D59" s="39">
        <v>492</v>
      </c>
      <c r="E59" s="37" t="s">
        <v>499</v>
      </c>
      <c r="F59" s="37" t="s">
        <v>500</v>
      </c>
      <c r="G59" s="37" t="s">
        <v>72</v>
      </c>
      <c r="H59" s="37" t="s">
        <v>73</v>
      </c>
      <c r="I59" s="40">
        <v>3225532680</v>
      </c>
      <c r="J59" s="41" t="s">
        <v>334</v>
      </c>
      <c r="K59" s="42">
        <v>300000</v>
      </c>
      <c r="L59" s="42">
        <f t="shared" si="4"/>
        <v>1917000</v>
      </c>
      <c r="M59" s="42" t="s">
        <v>502</v>
      </c>
      <c r="N59" s="42">
        <f t="shared" si="5"/>
        <v>249210</v>
      </c>
      <c r="O59" s="42" t="s">
        <v>119</v>
      </c>
      <c r="P59" s="43">
        <v>13</v>
      </c>
      <c r="Q59" s="44" t="s">
        <v>503</v>
      </c>
      <c r="R59" s="44" t="s">
        <v>504</v>
      </c>
      <c r="S59" s="37" t="s">
        <v>641</v>
      </c>
      <c r="T59" s="75">
        <v>339000</v>
      </c>
      <c r="U59" s="46">
        <v>45106</v>
      </c>
      <c r="V59" s="37" t="s">
        <v>20</v>
      </c>
      <c r="W59" s="46">
        <v>45106</v>
      </c>
      <c r="X59" s="17" t="s">
        <v>554</v>
      </c>
      <c r="Y59" t="s">
        <v>960</v>
      </c>
    </row>
    <row r="60" spans="1:25" ht="30.75" thickBot="1" x14ac:dyDescent="0.3">
      <c r="A60" s="27" t="s">
        <v>369</v>
      </c>
      <c r="B60" s="28">
        <v>10083610</v>
      </c>
      <c r="C60" s="28" t="s">
        <v>72</v>
      </c>
      <c r="D60" s="29">
        <v>471</v>
      </c>
      <c r="E60" s="27" t="s">
        <v>370</v>
      </c>
      <c r="F60" s="27" t="s">
        <v>371</v>
      </c>
      <c r="G60" s="27" t="s">
        <v>72</v>
      </c>
      <c r="H60" s="27" t="s">
        <v>73</v>
      </c>
      <c r="I60" s="30">
        <v>3001390815</v>
      </c>
      <c r="J60" s="35" t="s">
        <v>372</v>
      </c>
      <c r="K60" s="31">
        <v>500000</v>
      </c>
      <c r="L60" s="31">
        <f t="shared" si="4"/>
        <v>2195000</v>
      </c>
      <c r="M60" s="31" t="s">
        <v>141</v>
      </c>
      <c r="N60" s="31">
        <f t="shared" si="5"/>
        <v>285350</v>
      </c>
      <c r="O60" s="31" t="s">
        <v>124</v>
      </c>
      <c r="P60" s="32">
        <v>13</v>
      </c>
      <c r="Q60" s="33" t="s">
        <v>373</v>
      </c>
      <c r="R60" s="33" t="s">
        <v>374</v>
      </c>
      <c r="S60" s="4" t="s">
        <v>641</v>
      </c>
      <c r="T60" s="74"/>
      <c r="U60" s="27"/>
      <c r="V60" s="27"/>
      <c r="W60" s="27"/>
      <c r="X60" s="17"/>
    </row>
    <row r="61" spans="1:25" ht="30.75" thickBot="1" x14ac:dyDescent="0.3">
      <c r="A61" s="37" t="s">
        <v>44</v>
      </c>
      <c r="B61" s="38">
        <v>31419074</v>
      </c>
      <c r="C61" s="38" t="s">
        <v>628</v>
      </c>
      <c r="D61" s="39">
        <v>436</v>
      </c>
      <c r="E61" s="37" t="s">
        <v>931</v>
      </c>
      <c r="F61" s="37" t="s">
        <v>932</v>
      </c>
      <c r="G61" s="37" t="s">
        <v>628</v>
      </c>
      <c r="H61" s="37" t="s">
        <v>220</v>
      </c>
      <c r="I61" s="40">
        <v>3137320922</v>
      </c>
      <c r="J61" s="40"/>
      <c r="K61" s="42">
        <v>1000000</v>
      </c>
      <c r="L61" s="42">
        <f t="shared" si="4"/>
        <v>2890000</v>
      </c>
      <c r="M61" s="42" t="s">
        <v>142</v>
      </c>
      <c r="N61" s="42">
        <f t="shared" si="5"/>
        <v>375700</v>
      </c>
      <c r="O61" s="42" t="s">
        <v>125</v>
      </c>
      <c r="P61" s="43">
        <v>13</v>
      </c>
      <c r="Q61" s="44" t="s">
        <v>162</v>
      </c>
      <c r="R61" s="44" t="s">
        <v>191</v>
      </c>
      <c r="S61" s="4" t="s">
        <v>641</v>
      </c>
      <c r="T61" s="75">
        <v>1325000</v>
      </c>
      <c r="U61" s="46">
        <v>45107</v>
      </c>
      <c r="V61" s="37" t="s">
        <v>20</v>
      </c>
      <c r="W61" s="46">
        <v>45107</v>
      </c>
      <c r="X61" s="17"/>
    </row>
    <row r="62" spans="1:25" ht="30.75" thickBot="1" x14ac:dyDescent="0.3">
      <c r="A62" s="27" t="s">
        <v>381</v>
      </c>
      <c r="B62" s="28">
        <v>10240812</v>
      </c>
      <c r="C62" s="28" t="s">
        <v>80</v>
      </c>
      <c r="D62" s="29">
        <v>473</v>
      </c>
      <c r="E62" s="27" t="s">
        <v>382</v>
      </c>
      <c r="F62" s="27"/>
      <c r="G62" s="27" t="s">
        <v>383</v>
      </c>
      <c r="H62" s="27" t="s">
        <v>83</v>
      </c>
      <c r="I62" s="30">
        <v>3156376273</v>
      </c>
      <c r="J62" s="35" t="s">
        <v>384</v>
      </c>
      <c r="K62" s="31">
        <v>1000000</v>
      </c>
      <c r="L62" s="31">
        <f t="shared" si="4"/>
        <v>2890000</v>
      </c>
      <c r="M62" s="31" t="s">
        <v>142</v>
      </c>
      <c r="N62" s="31">
        <f t="shared" si="5"/>
        <v>375700</v>
      </c>
      <c r="O62" s="31" t="s">
        <v>125</v>
      </c>
      <c r="P62" s="32">
        <v>13</v>
      </c>
      <c r="Q62" s="33" t="s">
        <v>186</v>
      </c>
      <c r="R62" s="33" t="s">
        <v>385</v>
      </c>
      <c r="S62" s="4" t="s">
        <v>641</v>
      </c>
      <c r="T62" s="74"/>
      <c r="U62" s="27"/>
      <c r="V62" s="27"/>
      <c r="W62" s="27"/>
      <c r="X62" s="17" t="s">
        <v>386</v>
      </c>
    </row>
    <row r="63" spans="1:25" ht="30.75" thickBot="1" x14ac:dyDescent="0.3">
      <c r="A63" s="79" t="s">
        <v>393</v>
      </c>
      <c r="B63" s="80">
        <v>42028846</v>
      </c>
      <c r="C63" s="80" t="s">
        <v>387</v>
      </c>
      <c r="D63" s="81">
        <v>474</v>
      </c>
      <c r="E63" s="79" t="s">
        <v>388</v>
      </c>
      <c r="F63" s="79" t="s">
        <v>389</v>
      </c>
      <c r="G63" s="79" t="s">
        <v>72</v>
      </c>
      <c r="H63" s="79" t="s">
        <v>73</v>
      </c>
      <c r="I63" s="82">
        <v>3246244802</v>
      </c>
      <c r="J63" s="83" t="s">
        <v>390</v>
      </c>
      <c r="K63" s="84">
        <v>2000000</v>
      </c>
      <c r="L63" s="84">
        <f t="shared" si="4"/>
        <v>4280000</v>
      </c>
      <c r="M63" s="84" t="s">
        <v>137</v>
      </c>
      <c r="N63" s="84">
        <f t="shared" si="5"/>
        <v>556400</v>
      </c>
      <c r="O63" s="84" t="s">
        <v>121</v>
      </c>
      <c r="P63" s="85">
        <v>6.5</v>
      </c>
      <c r="Q63" s="86" t="s">
        <v>186</v>
      </c>
      <c r="R63" s="86" t="s">
        <v>385</v>
      </c>
      <c r="S63" s="87" t="s">
        <v>956</v>
      </c>
      <c r="T63" s="88"/>
      <c r="U63" s="79"/>
      <c r="V63" s="79"/>
      <c r="W63" s="79"/>
      <c r="X63" s="89" t="s">
        <v>391</v>
      </c>
    </row>
    <row r="64" spans="1:25" ht="30.75" thickBot="1" x14ac:dyDescent="0.3">
      <c r="A64" s="27" t="s">
        <v>369</v>
      </c>
      <c r="B64" s="28">
        <v>10083610</v>
      </c>
      <c r="C64" s="28" t="s">
        <v>72</v>
      </c>
      <c r="D64" s="29">
        <v>475</v>
      </c>
      <c r="E64" s="27" t="s">
        <v>370</v>
      </c>
      <c r="F64" s="27" t="s">
        <v>371</v>
      </c>
      <c r="G64" s="27" t="s">
        <v>72</v>
      </c>
      <c r="H64" s="27" t="s">
        <v>73</v>
      </c>
      <c r="I64" s="30">
        <v>3001390815</v>
      </c>
      <c r="J64" s="35" t="s">
        <v>372</v>
      </c>
      <c r="K64" s="31">
        <v>1000000</v>
      </c>
      <c r="L64" s="31">
        <f t="shared" si="4"/>
        <v>2890000</v>
      </c>
      <c r="M64" s="31" t="s">
        <v>142</v>
      </c>
      <c r="N64" s="31">
        <f t="shared" si="5"/>
        <v>375700</v>
      </c>
      <c r="O64" s="31" t="s">
        <v>125</v>
      </c>
      <c r="P64" s="32">
        <v>13</v>
      </c>
      <c r="Q64" s="33" t="s">
        <v>394</v>
      </c>
      <c r="R64" s="33" t="s">
        <v>395</v>
      </c>
      <c r="S64" s="4" t="s">
        <v>641</v>
      </c>
      <c r="T64" s="74"/>
      <c r="U64" s="27"/>
      <c r="V64" s="27"/>
      <c r="W64" s="27"/>
      <c r="X64" s="17"/>
    </row>
    <row r="65" spans="1:24" ht="30" x14ac:dyDescent="0.25">
      <c r="A65" s="79" t="s">
        <v>397</v>
      </c>
      <c r="B65" s="80">
        <v>42122299</v>
      </c>
      <c r="C65" s="80" t="s">
        <v>72</v>
      </c>
      <c r="D65" s="81">
        <v>476</v>
      </c>
      <c r="E65" s="79" t="s">
        <v>398</v>
      </c>
      <c r="F65" s="79" t="s">
        <v>399</v>
      </c>
      <c r="G65" s="79" t="s">
        <v>72</v>
      </c>
      <c r="H65" s="79" t="s">
        <v>73</v>
      </c>
      <c r="I65" s="82">
        <v>3137478289</v>
      </c>
      <c r="J65" s="83" t="s">
        <v>400</v>
      </c>
      <c r="K65" s="84">
        <v>2000000</v>
      </c>
      <c r="L65" s="84">
        <f t="shared" si="4"/>
        <v>4280000</v>
      </c>
      <c r="M65" s="84" t="s">
        <v>137</v>
      </c>
      <c r="N65" s="84">
        <f t="shared" si="5"/>
        <v>556400</v>
      </c>
      <c r="O65" s="84" t="s">
        <v>121</v>
      </c>
      <c r="P65" s="85">
        <v>6.5</v>
      </c>
      <c r="Q65" s="86" t="s">
        <v>401</v>
      </c>
      <c r="R65" s="86" t="s">
        <v>402</v>
      </c>
      <c r="S65" s="87" t="s">
        <v>956</v>
      </c>
      <c r="T65" s="88"/>
      <c r="U65" s="79"/>
      <c r="V65" s="79"/>
      <c r="W65" s="79"/>
      <c r="X65" s="89"/>
    </row>
    <row r="66" spans="1:24" ht="30.75" thickBot="1" x14ac:dyDescent="0.3">
      <c r="A66" s="79" t="s">
        <v>403</v>
      </c>
      <c r="B66" s="80">
        <v>28527446</v>
      </c>
      <c r="C66" s="80" t="s">
        <v>404</v>
      </c>
      <c r="D66" s="81">
        <v>477</v>
      </c>
      <c r="E66" s="79" t="s">
        <v>398</v>
      </c>
      <c r="F66" s="79" t="s">
        <v>399</v>
      </c>
      <c r="G66" s="79" t="s">
        <v>72</v>
      </c>
      <c r="H66" s="79" t="s">
        <v>73</v>
      </c>
      <c r="I66" s="82">
        <v>3137490869</v>
      </c>
      <c r="J66" s="83" t="s">
        <v>405</v>
      </c>
      <c r="K66" s="84">
        <v>2000000</v>
      </c>
      <c r="L66" s="84">
        <f t="shared" si="4"/>
        <v>4280000</v>
      </c>
      <c r="M66" s="84" t="s">
        <v>137</v>
      </c>
      <c r="N66" s="84">
        <f t="shared" si="5"/>
        <v>556400</v>
      </c>
      <c r="O66" s="84" t="s">
        <v>121</v>
      </c>
      <c r="P66" s="85">
        <v>6.5</v>
      </c>
      <c r="Q66" s="86" t="s">
        <v>401</v>
      </c>
      <c r="R66" s="86" t="s">
        <v>402</v>
      </c>
      <c r="S66" s="87" t="s">
        <v>956</v>
      </c>
      <c r="T66" s="88"/>
      <c r="U66" s="79"/>
      <c r="V66" s="79"/>
      <c r="W66" s="79"/>
      <c r="X66" s="89"/>
    </row>
    <row r="67" spans="1:24" ht="30.75" thickBot="1" x14ac:dyDescent="0.3">
      <c r="A67" s="37" t="s">
        <v>0</v>
      </c>
      <c r="B67" s="38">
        <v>10059740</v>
      </c>
      <c r="C67" s="38"/>
      <c r="D67" s="39">
        <v>437</v>
      </c>
      <c r="E67" s="37" t="s">
        <v>45</v>
      </c>
      <c r="F67" s="37"/>
      <c r="G67" s="37"/>
      <c r="H67" s="37"/>
      <c r="I67" s="40">
        <v>3122515023</v>
      </c>
      <c r="J67" s="40"/>
      <c r="K67" s="42">
        <v>500000</v>
      </c>
      <c r="L67" s="42">
        <f t="shared" si="4"/>
        <v>2195000</v>
      </c>
      <c r="M67" s="42" t="s">
        <v>141</v>
      </c>
      <c r="N67" s="42">
        <f t="shared" si="5"/>
        <v>285350</v>
      </c>
      <c r="O67" s="42" t="s">
        <v>124</v>
      </c>
      <c r="P67" s="43">
        <v>13</v>
      </c>
      <c r="Q67" s="44" t="s">
        <v>162</v>
      </c>
      <c r="R67" s="44" t="s">
        <v>191</v>
      </c>
      <c r="S67" s="4" t="s">
        <v>641</v>
      </c>
      <c r="T67" s="75">
        <v>900000</v>
      </c>
      <c r="U67" s="46">
        <v>45107</v>
      </c>
      <c r="V67" s="37" t="s">
        <v>20</v>
      </c>
      <c r="W67" s="46">
        <v>45107</v>
      </c>
      <c r="X67" s="17"/>
    </row>
    <row r="68" spans="1:24" ht="30" x14ac:dyDescent="0.25">
      <c r="A68" s="37" t="s">
        <v>426</v>
      </c>
      <c r="B68" s="38">
        <v>1089721086</v>
      </c>
      <c r="C68" s="38" t="s">
        <v>427</v>
      </c>
      <c r="D68" s="39">
        <v>481</v>
      </c>
      <c r="E68" s="37" t="s">
        <v>428</v>
      </c>
      <c r="F68" s="37" t="s">
        <v>429</v>
      </c>
      <c r="G68" s="37" t="s">
        <v>89</v>
      </c>
      <c r="H68" s="37" t="s">
        <v>73</v>
      </c>
      <c r="I68" s="40">
        <v>3229231452</v>
      </c>
      <c r="J68" s="41" t="s">
        <v>430</v>
      </c>
      <c r="K68" s="42">
        <v>800000</v>
      </c>
      <c r="L68" s="42">
        <f t="shared" si="4"/>
        <v>2612000</v>
      </c>
      <c r="M68" s="42" t="s">
        <v>143</v>
      </c>
      <c r="N68" s="42">
        <f t="shared" si="5"/>
        <v>339560</v>
      </c>
      <c r="O68" s="42" t="s">
        <v>126</v>
      </c>
      <c r="P68" s="43">
        <v>13</v>
      </c>
      <c r="Q68" s="44" t="s">
        <v>431</v>
      </c>
      <c r="R68" s="44" t="s">
        <v>432</v>
      </c>
      <c r="S68" s="45" t="s">
        <v>956</v>
      </c>
      <c r="T68" s="75">
        <v>956000</v>
      </c>
      <c r="U68" s="46">
        <v>45107</v>
      </c>
      <c r="V68" s="37" t="s">
        <v>20</v>
      </c>
      <c r="W68" s="37">
        <v>956000</v>
      </c>
      <c r="X68" s="77"/>
    </row>
    <row r="69" spans="1:24" ht="30" x14ac:dyDescent="0.25">
      <c r="A69" s="27" t="s">
        <v>416</v>
      </c>
      <c r="B69" s="28">
        <v>4350487</v>
      </c>
      <c r="C69" s="28" t="s">
        <v>417</v>
      </c>
      <c r="D69" s="29" t="s">
        <v>638</v>
      </c>
      <c r="E69" s="27" t="s">
        <v>419</v>
      </c>
      <c r="F69" s="27" t="s">
        <v>420</v>
      </c>
      <c r="G69" s="27" t="s">
        <v>387</v>
      </c>
      <c r="H69" s="27" t="s">
        <v>73</v>
      </c>
      <c r="I69" s="30">
        <v>3116241504</v>
      </c>
      <c r="J69" s="35" t="s">
        <v>421</v>
      </c>
      <c r="K69" s="31">
        <v>10000000</v>
      </c>
      <c r="L69" s="31">
        <f t="shared" si="4"/>
        <v>15400000</v>
      </c>
      <c r="M69" s="31" t="s">
        <v>422</v>
      </c>
      <c r="N69" s="31">
        <f t="shared" si="5"/>
        <v>2002000</v>
      </c>
      <c r="O69" s="31" t="s">
        <v>423</v>
      </c>
      <c r="P69" s="32">
        <v>13</v>
      </c>
      <c r="Q69" s="33" t="s">
        <v>153</v>
      </c>
      <c r="R69" s="33" t="s">
        <v>182</v>
      </c>
      <c r="S69" s="34" t="s">
        <v>956</v>
      </c>
      <c r="T69" s="74"/>
      <c r="U69" s="27"/>
      <c r="V69" s="27"/>
      <c r="W69" s="27"/>
      <c r="X69" s="17"/>
    </row>
    <row r="70" spans="1:24" ht="30" x14ac:dyDescent="0.25">
      <c r="A70" s="27" t="s">
        <v>34</v>
      </c>
      <c r="B70" s="28">
        <v>10060779</v>
      </c>
      <c r="C70" s="28" t="s">
        <v>72</v>
      </c>
      <c r="D70" s="29">
        <v>480</v>
      </c>
      <c r="E70" s="27" t="s">
        <v>210</v>
      </c>
      <c r="F70" s="27" t="s">
        <v>211</v>
      </c>
      <c r="G70" s="27" t="s">
        <v>89</v>
      </c>
      <c r="H70" s="27" t="s">
        <v>73</v>
      </c>
      <c r="I70" s="30">
        <v>3178487073</v>
      </c>
      <c r="J70" s="35" t="s">
        <v>424</v>
      </c>
      <c r="K70" s="31">
        <v>500000</v>
      </c>
      <c r="L70" s="31">
        <f t="shared" si="4"/>
        <v>2195000</v>
      </c>
      <c r="M70" s="31" t="s">
        <v>141</v>
      </c>
      <c r="N70" s="31">
        <f t="shared" si="5"/>
        <v>285350</v>
      </c>
      <c r="O70" s="31" t="s">
        <v>124</v>
      </c>
      <c r="P70" s="32">
        <v>13</v>
      </c>
      <c r="Q70" s="33" t="s">
        <v>192</v>
      </c>
      <c r="R70" s="33" t="s">
        <v>425</v>
      </c>
      <c r="S70" s="34" t="s">
        <v>362</v>
      </c>
      <c r="T70" s="74"/>
      <c r="U70" s="27"/>
      <c r="V70" s="27"/>
      <c r="W70" s="27"/>
      <c r="X70" s="17"/>
    </row>
    <row r="71" spans="1:24" ht="30" x14ac:dyDescent="0.25">
      <c r="A71" s="27" t="s">
        <v>410</v>
      </c>
      <c r="B71" s="28">
        <v>42143697</v>
      </c>
      <c r="C71" s="28" t="s">
        <v>72</v>
      </c>
      <c r="D71" s="29">
        <v>479</v>
      </c>
      <c r="E71" s="27" t="s">
        <v>411</v>
      </c>
      <c r="F71" s="27" t="s">
        <v>412</v>
      </c>
      <c r="G71" s="27" t="s">
        <v>72</v>
      </c>
      <c r="H71" s="27" t="s">
        <v>73</v>
      </c>
      <c r="I71" s="30">
        <v>3127200926</v>
      </c>
      <c r="J71" s="35" t="s">
        <v>413</v>
      </c>
      <c r="K71" s="31">
        <v>1500000</v>
      </c>
      <c r="L71" s="31">
        <f t="shared" si="4"/>
        <v>3585000</v>
      </c>
      <c r="M71" s="31" t="s">
        <v>136</v>
      </c>
      <c r="N71" s="31">
        <f t="shared" si="5"/>
        <v>466050</v>
      </c>
      <c r="O71" s="31" t="s">
        <v>120</v>
      </c>
      <c r="P71" s="32">
        <v>6.5</v>
      </c>
      <c r="Q71" s="33" t="s">
        <v>414</v>
      </c>
      <c r="R71" s="33" t="s">
        <v>415</v>
      </c>
      <c r="S71" s="34" t="s">
        <v>956</v>
      </c>
      <c r="T71" s="74">
        <v>222500</v>
      </c>
      <c r="U71" s="76">
        <v>45111</v>
      </c>
      <c r="V71" s="27" t="s">
        <v>539</v>
      </c>
      <c r="W71" s="27"/>
      <c r="X71" s="17"/>
    </row>
    <row r="72" spans="1:24" ht="45" x14ac:dyDescent="0.25">
      <c r="A72" s="27" t="s">
        <v>433</v>
      </c>
      <c r="B72" s="28">
        <v>33819492</v>
      </c>
      <c r="C72" s="28" t="s">
        <v>434</v>
      </c>
      <c r="D72" s="29">
        <v>482</v>
      </c>
      <c r="E72" s="27" t="s">
        <v>435</v>
      </c>
      <c r="F72" s="27" t="s">
        <v>436</v>
      </c>
      <c r="G72" s="27" t="s">
        <v>434</v>
      </c>
      <c r="H72" s="27" t="s">
        <v>437</v>
      </c>
      <c r="I72" s="30">
        <v>3172351253</v>
      </c>
      <c r="J72" s="35" t="s">
        <v>438</v>
      </c>
      <c r="K72" s="31">
        <v>17000000</v>
      </c>
      <c r="L72" s="31">
        <f t="shared" si="4"/>
        <v>25130000</v>
      </c>
      <c r="M72" s="31" t="s">
        <v>439</v>
      </c>
      <c r="N72" s="31">
        <f t="shared" si="5"/>
        <v>3266900</v>
      </c>
      <c r="O72" s="31" t="s">
        <v>440</v>
      </c>
      <c r="P72" s="32">
        <v>13</v>
      </c>
      <c r="Q72" s="33" t="s">
        <v>441</v>
      </c>
      <c r="R72" s="33" t="s">
        <v>442</v>
      </c>
      <c r="S72" s="34" t="s">
        <v>640</v>
      </c>
      <c r="T72" s="74"/>
      <c r="U72" s="27"/>
      <c r="V72" s="27"/>
      <c r="W72" s="27"/>
      <c r="X72" s="17"/>
    </row>
    <row r="73" spans="1:24" ht="30" x14ac:dyDescent="0.25">
      <c r="A73" s="27" t="s">
        <v>443</v>
      </c>
      <c r="B73" s="28">
        <v>42053061</v>
      </c>
      <c r="C73" s="28" t="s">
        <v>72</v>
      </c>
      <c r="D73" s="29">
        <v>483</v>
      </c>
      <c r="E73" s="27" t="s">
        <v>444</v>
      </c>
      <c r="F73" s="27" t="s">
        <v>412</v>
      </c>
      <c r="G73" s="27" t="s">
        <v>72</v>
      </c>
      <c r="H73" s="27" t="s">
        <v>73</v>
      </c>
      <c r="I73" s="30">
        <v>3142979836</v>
      </c>
      <c r="J73" s="35" t="s">
        <v>413</v>
      </c>
      <c r="K73" s="31">
        <v>1500000</v>
      </c>
      <c r="L73" s="31">
        <f t="shared" si="4"/>
        <v>3585000</v>
      </c>
      <c r="M73" s="31" t="s">
        <v>136</v>
      </c>
      <c r="N73" s="31">
        <f t="shared" si="5"/>
        <v>466050</v>
      </c>
      <c r="O73" s="31" t="s">
        <v>120</v>
      </c>
      <c r="P73" s="32">
        <v>6.5</v>
      </c>
      <c r="Q73" s="33" t="s">
        <v>445</v>
      </c>
      <c r="R73" s="33" t="s">
        <v>446</v>
      </c>
      <c r="S73" s="34" t="s">
        <v>956</v>
      </c>
      <c r="T73" s="74"/>
      <c r="U73" s="27"/>
      <c r="V73" s="27"/>
      <c r="W73" s="27"/>
      <c r="X73" s="17"/>
    </row>
    <row r="74" spans="1:24" ht="30" x14ac:dyDescent="0.25">
      <c r="A74" s="27" t="s">
        <v>449</v>
      </c>
      <c r="B74" s="28">
        <v>10100068</v>
      </c>
      <c r="C74" s="28" t="s">
        <v>72</v>
      </c>
      <c r="D74" s="29">
        <v>484</v>
      </c>
      <c r="E74" s="27" t="s">
        <v>451</v>
      </c>
      <c r="F74" s="27" t="s">
        <v>450</v>
      </c>
      <c r="G74" s="27" t="s">
        <v>72</v>
      </c>
      <c r="H74" s="27" t="s">
        <v>73</v>
      </c>
      <c r="I74" s="30">
        <v>3153332180</v>
      </c>
      <c r="J74" s="35" t="s">
        <v>452</v>
      </c>
      <c r="K74" s="31">
        <v>4000000</v>
      </c>
      <c r="L74" s="31">
        <f t="shared" si="4"/>
        <v>7060000</v>
      </c>
      <c r="M74" s="31" t="s">
        <v>287</v>
      </c>
      <c r="N74" s="31">
        <f t="shared" si="5"/>
        <v>917800</v>
      </c>
      <c r="O74" s="31" t="s">
        <v>288</v>
      </c>
      <c r="P74" s="32">
        <v>13</v>
      </c>
      <c r="Q74" s="33" t="s">
        <v>184</v>
      </c>
      <c r="R74" s="33" t="s">
        <v>453</v>
      </c>
      <c r="S74" s="34" t="s">
        <v>956</v>
      </c>
      <c r="T74" s="74"/>
      <c r="U74" s="27"/>
      <c r="V74" s="27"/>
      <c r="W74" s="27"/>
      <c r="X74" s="17" t="s">
        <v>454</v>
      </c>
    </row>
    <row r="75" spans="1:24" ht="45" x14ac:dyDescent="0.25">
      <c r="A75" s="27" t="s">
        <v>455</v>
      </c>
      <c r="B75" s="28">
        <v>25056635</v>
      </c>
      <c r="C75" s="28" t="s">
        <v>456</v>
      </c>
      <c r="D75" s="29">
        <v>485</v>
      </c>
      <c r="E75" s="27" t="s">
        <v>458</v>
      </c>
      <c r="F75" s="27" t="s">
        <v>459</v>
      </c>
      <c r="G75" s="27" t="s">
        <v>72</v>
      </c>
      <c r="H75" s="27" t="s">
        <v>73</v>
      </c>
      <c r="I75" s="30">
        <v>3144045290</v>
      </c>
      <c r="J75" s="35" t="s">
        <v>460</v>
      </c>
      <c r="K75" s="31">
        <v>700000</v>
      </c>
      <c r="L75" s="31">
        <f t="shared" si="4"/>
        <v>2473000</v>
      </c>
      <c r="M75" s="31" t="s">
        <v>145</v>
      </c>
      <c r="N75" s="31">
        <f t="shared" si="5"/>
        <v>321490</v>
      </c>
      <c r="O75" s="31" t="s">
        <v>465</v>
      </c>
      <c r="P75" s="32">
        <v>13</v>
      </c>
      <c r="Q75" s="33" t="s">
        <v>171</v>
      </c>
      <c r="R75" s="33" t="s">
        <v>457</v>
      </c>
      <c r="S75" s="34" t="s">
        <v>956</v>
      </c>
      <c r="T75" s="74"/>
      <c r="U75" s="27"/>
      <c r="V75" s="27"/>
      <c r="W75" s="27"/>
      <c r="X75" s="17" t="s">
        <v>386</v>
      </c>
    </row>
    <row r="76" spans="1:24" ht="30.75" thickBot="1" x14ac:dyDescent="0.3">
      <c r="A76" s="37" t="s">
        <v>356</v>
      </c>
      <c r="B76" s="38">
        <v>10069872</v>
      </c>
      <c r="C76" s="38" t="s">
        <v>72</v>
      </c>
      <c r="D76" s="39">
        <v>469</v>
      </c>
      <c r="E76" s="37" t="s">
        <v>357</v>
      </c>
      <c r="F76" s="37" t="s">
        <v>358</v>
      </c>
      <c r="G76" s="37" t="s">
        <v>72</v>
      </c>
      <c r="H76" s="37" t="s">
        <v>73</v>
      </c>
      <c r="I76" s="40">
        <v>3234922685</v>
      </c>
      <c r="J76" s="41" t="s">
        <v>359</v>
      </c>
      <c r="K76" s="42">
        <v>500000</v>
      </c>
      <c r="L76" s="42">
        <f t="shared" si="4"/>
        <v>2195000</v>
      </c>
      <c r="M76" s="42" t="s">
        <v>141</v>
      </c>
      <c r="N76" s="42">
        <f t="shared" si="5"/>
        <v>285350</v>
      </c>
      <c r="O76" s="42" t="s">
        <v>124</v>
      </c>
      <c r="P76" s="43">
        <v>13</v>
      </c>
      <c r="Q76" s="44" t="s">
        <v>360</v>
      </c>
      <c r="R76" s="44" t="s">
        <v>361</v>
      </c>
      <c r="S76" s="45" t="s">
        <v>362</v>
      </c>
      <c r="T76" s="75">
        <v>630000</v>
      </c>
      <c r="U76" s="46">
        <v>45112</v>
      </c>
      <c r="V76" s="37" t="s">
        <v>20</v>
      </c>
      <c r="W76" s="46">
        <v>45112</v>
      </c>
      <c r="X76" s="77" t="s">
        <v>364</v>
      </c>
    </row>
    <row r="77" spans="1:24" ht="45.75" thickBot="1" x14ac:dyDescent="0.3">
      <c r="A77" s="27" t="s">
        <v>466</v>
      </c>
      <c r="B77" s="28">
        <v>94227972</v>
      </c>
      <c r="C77" s="28" t="s">
        <v>217</v>
      </c>
      <c r="D77" s="29">
        <v>487</v>
      </c>
      <c r="E77" s="27" t="s">
        <v>467</v>
      </c>
      <c r="F77" s="27" t="s">
        <v>468</v>
      </c>
      <c r="G77" s="27" t="s">
        <v>217</v>
      </c>
      <c r="H77" s="27" t="s">
        <v>220</v>
      </c>
      <c r="I77" s="30">
        <v>3104294417</v>
      </c>
      <c r="J77" s="35" t="s">
        <v>469</v>
      </c>
      <c r="K77" s="31">
        <v>1000000</v>
      </c>
      <c r="L77" s="31">
        <f t="shared" si="4"/>
        <v>2890000</v>
      </c>
      <c r="M77" s="31" t="s">
        <v>145</v>
      </c>
      <c r="N77" s="31">
        <f t="shared" si="5"/>
        <v>375700</v>
      </c>
      <c r="O77" s="31" t="s">
        <v>128</v>
      </c>
      <c r="P77" s="32">
        <v>13</v>
      </c>
      <c r="Q77" s="33" t="s">
        <v>470</v>
      </c>
      <c r="R77" s="33" t="s">
        <v>471</v>
      </c>
      <c r="S77" s="4" t="s">
        <v>641</v>
      </c>
      <c r="T77" s="74"/>
      <c r="U77" s="27"/>
      <c r="V77" s="27"/>
      <c r="W77" s="27"/>
      <c r="X77" s="17" t="s">
        <v>363</v>
      </c>
    </row>
    <row r="78" spans="1:24" ht="30.75" thickBot="1" x14ac:dyDescent="0.3">
      <c r="A78" s="27" t="s">
        <v>381</v>
      </c>
      <c r="B78" s="28">
        <v>10240812</v>
      </c>
      <c r="C78" s="28" t="s">
        <v>80</v>
      </c>
      <c r="D78" s="29">
        <v>488</v>
      </c>
      <c r="E78" s="27" t="s">
        <v>382</v>
      </c>
      <c r="F78" s="27"/>
      <c r="G78" s="27" t="s">
        <v>383</v>
      </c>
      <c r="H78" s="27" t="s">
        <v>83</v>
      </c>
      <c r="I78" s="30">
        <v>3156376273</v>
      </c>
      <c r="J78" s="35" t="s">
        <v>384</v>
      </c>
      <c r="K78" s="31">
        <v>1000000</v>
      </c>
      <c r="L78" s="31">
        <f t="shared" si="4"/>
        <v>2890000</v>
      </c>
      <c r="M78" s="31" t="s">
        <v>142</v>
      </c>
      <c r="N78" s="31">
        <f t="shared" si="5"/>
        <v>375700</v>
      </c>
      <c r="O78" s="31" t="s">
        <v>125</v>
      </c>
      <c r="P78" s="32">
        <v>13</v>
      </c>
      <c r="Q78" s="33" t="s">
        <v>472</v>
      </c>
      <c r="R78" s="33" t="s">
        <v>473</v>
      </c>
      <c r="S78" s="4" t="s">
        <v>641</v>
      </c>
      <c r="T78" s="74"/>
      <c r="U78" s="27"/>
      <c r="V78" s="27"/>
      <c r="W78" s="27"/>
      <c r="X78" s="17" t="s">
        <v>386</v>
      </c>
    </row>
    <row r="79" spans="1:24" ht="30.75" thickBot="1" x14ac:dyDescent="0.3">
      <c r="A79" s="27" t="s">
        <v>474</v>
      </c>
      <c r="B79" s="28">
        <v>9955716</v>
      </c>
      <c r="C79" s="28" t="s">
        <v>475</v>
      </c>
      <c r="D79" s="29">
        <v>489</v>
      </c>
      <c r="E79" s="27" t="s">
        <v>476</v>
      </c>
      <c r="F79" s="27" t="s">
        <v>477</v>
      </c>
      <c r="G79" s="27" t="s">
        <v>72</v>
      </c>
      <c r="H79" s="27" t="s">
        <v>73</v>
      </c>
      <c r="I79" s="30">
        <v>3114088034</v>
      </c>
      <c r="J79" s="35" t="s">
        <v>478</v>
      </c>
      <c r="K79" s="31">
        <v>1000000</v>
      </c>
      <c r="L79" s="31">
        <f t="shared" si="4"/>
        <v>2890000</v>
      </c>
      <c r="M79" s="31" t="s">
        <v>142</v>
      </c>
      <c r="N79" s="31">
        <f t="shared" si="5"/>
        <v>375700</v>
      </c>
      <c r="O79" s="31" t="s">
        <v>125</v>
      </c>
      <c r="P79" s="32">
        <v>13</v>
      </c>
      <c r="Q79" s="33" t="s">
        <v>472</v>
      </c>
      <c r="R79" s="33" t="s">
        <v>473</v>
      </c>
      <c r="S79" s="4" t="s">
        <v>641</v>
      </c>
      <c r="T79" s="74"/>
      <c r="U79" s="27"/>
      <c r="V79" s="27"/>
      <c r="W79" s="27"/>
      <c r="X79" s="17" t="s">
        <v>386</v>
      </c>
    </row>
    <row r="80" spans="1:24" ht="45.75" thickBot="1" x14ac:dyDescent="0.3">
      <c r="A80" s="27" t="s">
        <v>479</v>
      </c>
      <c r="B80" s="28">
        <v>10095572</v>
      </c>
      <c r="C80" s="28" t="s">
        <v>72</v>
      </c>
      <c r="D80" s="29">
        <v>490</v>
      </c>
      <c r="E80" s="27" t="s">
        <v>480</v>
      </c>
      <c r="F80" s="27" t="s">
        <v>481</v>
      </c>
      <c r="G80" s="27" t="s">
        <v>72</v>
      </c>
      <c r="H80" s="27" t="s">
        <v>73</v>
      </c>
      <c r="I80" s="30">
        <v>3042315593</v>
      </c>
      <c r="J80" s="35" t="s">
        <v>482</v>
      </c>
      <c r="K80" s="31">
        <v>1000000</v>
      </c>
      <c r="L80" s="31">
        <f t="shared" si="4"/>
        <v>2890000</v>
      </c>
      <c r="M80" s="31" t="s">
        <v>484</v>
      </c>
      <c r="N80" s="31">
        <f t="shared" si="5"/>
        <v>375700</v>
      </c>
      <c r="O80" s="31" t="s">
        <v>125</v>
      </c>
      <c r="P80" s="32">
        <v>13</v>
      </c>
      <c r="Q80" s="33" t="s">
        <v>179</v>
      </c>
      <c r="R80" s="33" t="s">
        <v>483</v>
      </c>
      <c r="S80" s="4" t="s">
        <v>641</v>
      </c>
      <c r="T80" s="74"/>
      <c r="U80" s="27"/>
      <c r="V80" s="27"/>
      <c r="W80" s="27"/>
      <c r="X80" s="17" t="s">
        <v>386</v>
      </c>
    </row>
    <row r="81" spans="1:24" ht="45.75" thickBot="1" x14ac:dyDescent="0.3">
      <c r="A81" s="27" t="s">
        <v>485</v>
      </c>
      <c r="B81" s="28">
        <v>10032573</v>
      </c>
      <c r="C81" s="28" t="s">
        <v>72</v>
      </c>
      <c r="D81" s="29" t="s">
        <v>418</v>
      </c>
      <c r="E81" s="27" t="s">
        <v>486</v>
      </c>
      <c r="F81" s="27"/>
      <c r="G81" s="27" t="s">
        <v>72</v>
      </c>
      <c r="H81" s="27" t="s">
        <v>73</v>
      </c>
      <c r="I81" s="30">
        <v>3175027748</v>
      </c>
      <c r="J81" s="35" t="s">
        <v>487</v>
      </c>
      <c r="K81" s="31">
        <v>14000000</v>
      </c>
      <c r="L81" s="31">
        <f t="shared" si="4"/>
        <v>20960000</v>
      </c>
      <c r="M81" s="31" t="s">
        <v>488</v>
      </c>
      <c r="N81" s="31">
        <f t="shared" si="5"/>
        <v>2724800</v>
      </c>
      <c r="O81" s="31" t="s">
        <v>489</v>
      </c>
      <c r="P81" s="32">
        <v>13</v>
      </c>
      <c r="Q81" s="33" t="s">
        <v>490</v>
      </c>
      <c r="R81" s="33" t="s">
        <v>491</v>
      </c>
      <c r="S81" s="4" t="s">
        <v>641</v>
      </c>
      <c r="T81" s="74"/>
      <c r="U81" s="27"/>
      <c r="V81" s="27"/>
      <c r="W81" s="27"/>
      <c r="X81" s="17" t="s">
        <v>553</v>
      </c>
    </row>
    <row r="82" spans="1:24" ht="30.75" thickBot="1" x14ac:dyDescent="0.3">
      <c r="A82" s="27" t="s">
        <v>492</v>
      </c>
      <c r="B82" s="28">
        <v>82382954</v>
      </c>
      <c r="C82" s="28" t="s">
        <v>493</v>
      </c>
      <c r="D82" s="29">
        <v>491</v>
      </c>
      <c r="E82" s="27" t="s">
        <v>496</v>
      </c>
      <c r="F82" s="27" t="s">
        <v>497</v>
      </c>
      <c r="G82" s="27" t="s">
        <v>72</v>
      </c>
      <c r="H82" s="27" t="s">
        <v>73</v>
      </c>
      <c r="I82" s="30">
        <v>3133099874</v>
      </c>
      <c r="J82" s="35" t="s">
        <v>495</v>
      </c>
      <c r="K82" s="31">
        <v>2000000</v>
      </c>
      <c r="L82" s="31">
        <f t="shared" si="4"/>
        <v>4280000</v>
      </c>
      <c r="M82" s="31" t="s">
        <v>137</v>
      </c>
      <c r="N82" s="31">
        <f t="shared" si="5"/>
        <v>556400</v>
      </c>
      <c r="O82" s="31" t="s">
        <v>121</v>
      </c>
      <c r="P82" s="32">
        <v>13</v>
      </c>
      <c r="Q82" s="33" t="s">
        <v>209</v>
      </c>
      <c r="R82" s="33" t="s">
        <v>494</v>
      </c>
      <c r="S82" s="4" t="s">
        <v>641</v>
      </c>
      <c r="T82" s="74"/>
      <c r="U82" s="27"/>
      <c r="V82" s="27"/>
      <c r="W82" s="27"/>
      <c r="X82" s="17" t="s">
        <v>555</v>
      </c>
    </row>
    <row r="83" spans="1:24" ht="45.75" thickBot="1" x14ac:dyDescent="0.3">
      <c r="A83" s="37" t="s">
        <v>461</v>
      </c>
      <c r="B83" s="38">
        <v>10106423</v>
      </c>
      <c r="C83" s="38" t="s">
        <v>69</v>
      </c>
      <c r="D83" s="39">
        <v>486</v>
      </c>
      <c r="E83" s="37" t="s">
        <v>462</v>
      </c>
      <c r="F83" s="37" t="s">
        <v>463</v>
      </c>
      <c r="G83" s="37" t="s">
        <v>72</v>
      </c>
      <c r="H83" s="37" t="s">
        <v>73</v>
      </c>
      <c r="I83" s="40">
        <v>3108930471</v>
      </c>
      <c r="J83" s="41" t="s">
        <v>464</v>
      </c>
      <c r="K83" s="42">
        <v>700000</v>
      </c>
      <c r="L83" s="42">
        <f t="shared" si="4"/>
        <v>2473000</v>
      </c>
      <c r="M83" s="42" t="s">
        <v>145</v>
      </c>
      <c r="N83" s="42">
        <f t="shared" si="5"/>
        <v>321490</v>
      </c>
      <c r="O83" s="42" t="s">
        <v>465</v>
      </c>
      <c r="P83" s="43">
        <v>13</v>
      </c>
      <c r="Q83" s="44" t="s">
        <v>171</v>
      </c>
      <c r="R83" s="44" t="s">
        <v>457</v>
      </c>
      <c r="S83" s="130" t="s">
        <v>956</v>
      </c>
      <c r="T83" s="75">
        <v>791000</v>
      </c>
      <c r="U83" s="46">
        <v>45114</v>
      </c>
      <c r="V83" s="37" t="s">
        <v>20</v>
      </c>
      <c r="W83" s="46">
        <v>45114</v>
      </c>
      <c r="X83" s="77"/>
    </row>
    <row r="84" spans="1:24" ht="30.75" thickBot="1" x14ac:dyDescent="0.3">
      <c r="A84" s="27" t="s">
        <v>505</v>
      </c>
      <c r="B84" s="28">
        <v>10090181</v>
      </c>
      <c r="C84" s="28" t="s">
        <v>72</v>
      </c>
      <c r="D84" s="29">
        <v>493</v>
      </c>
      <c r="E84" s="27" t="s">
        <v>506</v>
      </c>
      <c r="F84" s="27" t="s">
        <v>507</v>
      </c>
      <c r="G84" s="27" t="s">
        <v>72</v>
      </c>
      <c r="H84" s="27" t="s">
        <v>73</v>
      </c>
      <c r="I84" s="30" t="s">
        <v>510</v>
      </c>
      <c r="J84" s="35" t="s">
        <v>508</v>
      </c>
      <c r="K84" s="31">
        <v>500000</v>
      </c>
      <c r="L84" s="31">
        <f t="shared" si="4"/>
        <v>2195000</v>
      </c>
      <c r="M84" s="31" t="s">
        <v>141</v>
      </c>
      <c r="N84" s="31">
        <f t="shared" si="5"/>
        <v>285350</v>
      </c>
      <c r="O84" s="31" t="s">
        <v>124</v>
      </c>
      <c r="P84" s="32">
        <v>13</v>
      </c>
      <c r="Q84" s="33" t="s">
        <v>509</v>
      </c>
      <c r="R84" s="33" t="s">
        <v>504</v>
      </c>
      <c r="S84" s="4" t="s">
        <v>641</v>
      </c>
      <c r="T84" s="74"/>
      <c r="U84" s="27"/>
      <c r="V84" s="27"/>
      <c r="W84" s="27"/>
      <c r="X84" s="17" t="s">
        <v>386</v>
      </c>
    </row>
    <row r="85" spans="1:24" ht="30.75" thickBot="1" x14ac:dyDescent="0.3">
      <c r="A85" s="27" t="s">
        <v>511</v>
      </c>
      <c r="B85" s="28">
        <v>24929445</v>
      </c>
      <c r="C85" s="28" t="s">
        <v>72</v>
      </c>
      <c r="D85" s="29">
        <v>494</v>
      </c>
      <c r="E85" s="27" t="s">
        <v>512</v>
      </c>
      <c r="F85" s="27" t="s">
        <v>513</v>
      </c>
      <c r="G85" s="27" t="s">
        <v>72</v>
      </c>
      <c r="H85" s="27" t="s">
        <v>73</v>
      </c>
      <c r="I85" s="30">
        <v>3104454479</v>
      </c>
      <c r="J85" s="35" t="s">
        <v>514</v>
      </c>
      <c r="K85" s="31">
        <v>500000</v>
      </c>
      <c r="L85" s="31">
        <f t="shared" si="4"/>
        <v>2195000</v>
      </c>
      <c r="M85" s="31" t="s">
        <v>141</v>
      </c>
      <c r="N85" s="31">
        <f t="shared" si="5"/>
        <v>285350</v>
      </c>
      <c r="O85" s="31" t="s">
        <v>124</v>
      </c>
      <c r="P85" s="32">
        <v>13</v>
      </c>
      <c r="Q85" s="33" t="s">
        <v>515</v>
      </c>
      <c r="R85" s="33" t="s">
        <v>516</v>
      </c>
      <c r="S85" s="4" t="s">
        <v>641</v>
      </c>
      <c r="T85" s="74"/>
      <c r="U85" s="27"/>
      <c r="V85" s="27"/>
      <c r="W85" s="27"/>
      <c r="X85" s="17" t="s">
        <v>554</v>
      </c>
    </row>
    <row r="86" spans="1:24" ht="30.75" thickBot="1" x14ac:dyDescent="0.3">
      <c r="A86" s="17" t="s">
        <v>517</v>
      </c>
      <c r="B86" s="17">
        <v>94376844</v>
      </c>
      <c r="C86" s="17" t="s">
        <v>301</v>
      </c>
      <c r="D86" s="17" t="s">
        <v>520</v>
      </c>
      <c r="E86" s="17" t="s">
        <v>518</v>
      </c>
      <c r="F86" s="17"/>
      <c r="G86" s="17" t="s">
        <v>217</v>
      </c>
      <c r="H86" s="17" t="s">
        <v>220</v>
      </c>
      <c r="I86" s="17">
        <v>3147573399</v>
      </c>
      <c r="J86" s="90" t="s">
        <v>519</v>
      </c>
      <c r="K86" s="91">
        <v>20000000</v>
      </c>
      <c r="L86" s="31">
        <f t="shared" si="4"/>
        <v>29300000</v>
      </c>
      <c r="M86" s="31" t="s">
        <v>528</v>
      </c>
      <c r="N86" s="31">
        <f t="shared" si="5"/>
        <v>3809000</v>
      </c>
      <c r="O86" s="31" t="s">
        <v>529</v>
      </c>
      <c r="P86" s="32">
        <v>13</v>
      </c>
      <c r="Q86" s="17" t="s">
        <v>490</v>
      </c>
      <c r="R86" s="17" t="s">
        <v>491</v>
      </c>
      <c r="S86" s="4" t="s">
        <v>641</v>
      </c>
      <c r="T86" s="74"/>
      <c r="U86" s="27"/>
      <c r="V86" s="27"/>
      <c r="W86" s="27"/>
      <c r="X86" s="17" t="s">
        <v>553</v>
      </c>
    </row>
    <row r="87" spans="1:24" ht="45.75" thickBot="1" x14ac:dyDescent="0.3">
      <c r="A87" s="17" t="s">
        <v>521</v>
      </c>
      <c r="B87" s="17">
        <v>13895026</v>
      </c>
      <c r="C87" s="17" t="s">
        <v>522</v>
      </c>
      <c r="D87" s="17" t="s">
        <v>639</v>
      </c>
      <c r="E87" s="17" t="s">
        <v>524</v>
      </c>
      <c r="F87" s="17" t="s">
        <v>525</v>
      </c>
      <c r="G87" s="17" t="s">
        <v>526</v>
      </c>
      <c r="H87" s="17" t="s">
        <v>83</v>
      </c>
      <c r="I87" s="17">
        <v>3128317488</v>
      </c>
      <c r="J87" s="90" t="s">
        <v>527</v>
      </c>
      <c r="K87" s="91">
        <v>15250000</v>
      </c>
      <c r="L87" s="31">
        <f t="shared" si="4"/>
        <v>22697500</v>
      </c>
      <c r="M87" s="31" t="s">
        <v>530</v>
      </c>
      <c r="N87" s="31">
        <f t="shared" si="5"/>
        <v>2950675</v>
      </c>
      <c r="O87" s="31" t="s">
        <v>531</v>
      </c>
      <c r="P87" s="32">
        <v>13</v>
      </c>
      <c r="Q87" s="17" t="s">
        <v>490</v>
      </c>
      <c r="R87" s="17" t="s">
        <v>491</v>
      </c>
      <c r="S87" s="4" t="s">
        <v>641</v>
      </c>
      <c r="T87" s="74"/>
      <c r="U87" s="27"/>
      <c r="V87" s="27"/>
      <c r="W87" s="27"/>
      <c r="X87" s="17" t="s">
        <v>553</v>
      </c>
    </row>
    <row r="88" spans="1:24" ht="30.75" thickBot="1" x14ac:dyDescent="0.3">
      <c r="A88" s="27" t="s">
        <v>479</v>
      </c>
      <c r="B88" s="28">
        <v>10095572</v>
      </c>
      <c r="C88" s="28" t="s">
        <v>72</v>
      </c>
      <c r="D88" s="29">
        <v>495</v>
      </c>
      <c r="E88" s="27" t="s">
        <v>480</v>
      </c>
      <c r="F88" s="27" t="s">
        <v>481</v>
      </c>
      <c r="G88" s="27" t="s">
        <v>72</v>
      </c>
      <c r="H88" s="27" t="s">
        <v>73</v>
      </c>
      <c r="I88" s="30">
        <v>3042315593</v>
      </c>
      <c r="J88" s="35" t="s">
        <v>482</v>
      </c>
      <c r="K88" s="91">
        <v>500000</v>
      </c>
      <c r="L88" s="31">
        <f t="shared" ref="L88:L115" si="6">(((K88*0.13))*3+1500000)+K88</f>
        <v>2195000</v>
      </c>
      <c r="M88" s="31" t="s">
        <v>141</v>
      </c>
      <c r="N88" s="31">
        <f t="shared" ref="N88:N116" si="7">(L88*0.13)</f>
        <v>285350</v>
      </c>
      <c r="O88" s="31" t="s">
        <v>124</v>
      </c>
      <c r="P88" s="32">
        <v>13</v>
      </c>
      <c r="Q88" s="17" t="s">
        <v>290</v>
      </c>
      <c r="R88" s="17" t="s">
        <v>532</v>
      </c>
      <c r="S88" s="17" t="s">
        <v>956</v>
      </c>
      <c r="T88" s="74"/>
      <c r="U88" s="27"/>
      <c r="V88" s="27"/>
      <c r="W88" s="27"/>
      <c r="X88" s="17" t="s">
        <v>256</v>
      </c>
    </row>
    <row r="89" spans="1:24" ht="30.75" thickBot="1" x14ac:dyDescent="0.3">
      <c r="A89" s="17" t="s">
        <v>533</v>
      </c>
      <c r="B89" s="17">
        <v>42057042</v>
      </c>
      <c r="C89" s="17" t="s">
        <v>72</v>
      </c>
      <c r="D89" s="17">
        <v>496</v>
      </c>
      <c r="E89" s="17" t="s">
        <v>534</v>
      </c>
      <c r="F89" s="17" t="s">
        <v>535</v>
      </c>
      <c r="G89" s="17" t="s">
        <v>72</v>
      </c>
      <c r="H89" s="17" t="s">
        <v>73</v>
      </c>
      <c r="I89" s="17">
        <v>3022795917</v>
      </c>
      <c r="J89" s="90" t="s">
        <v>538</v>
      </c>
      <c r="K89" s="91">
        <v>500000</v>
      </c>
      <c r="L89" s="31">
        <f t="shared" si="6"/>
        <v>2195000</v>
      </c>
      <c r="M89" s="31" t="s">
        <v>141</v>
      </c>
      <c r="N89" s="31">
        <f t="shared" si="7"/>
        <v>285350</v>
      </c>
      <c r="O89" s="31" t="s">
        <v>124</v>
      </c>
      <c r="P89" s="32">
        <v>13</v>
      </c>
      <c r="Q89" s="17" t="s">
        <v>536</v>
      </c>
      <c r="R89" s="17" t="s">
        <v>537</v>
      </c>
      <c r="S89" s="4" t="s">
        <v>641</v>
      </c>
      <c r="T89" s="74"/>
      <c r="U89" s="27"/>
      <c r="V89" s="27"/>
      <c r="W89" s="27"/>
      <c r="X89" s="17" t="s">
        <v>386</v>
      </c>
    </row>
    <row r="90" spans="1:24" ht="45.75" thickBot="1" x14ac:dyDescent="0.3">
      <c r="A90" s="17" t="s">
        <v>540</v>
      </c>
      <c r="B90" s="17">
        <v>15962486</v>
      </c>
      <c r="C90" s="17" t="s">
        <v>86</v>
      </c>
      <c r="D90" s="17">
        <v>497</v>
      </c>
      <c r="E90" s="17" t="s">
        <v>541</v>
      </c>
      <c r="F90" s="17"/>
      <c r="G90" s="17" t="s">
        <v>80</v>
      </c>
      <c r="H90" s="17" t="s">
        <v>83</v>
      </c>
      <c r="I90" s="17">
        <v>3158018334</v>
      </c>
      <c r="J90" s="90" t="s">
        <v>542</v>
      </c>
      <c r="K90" s="91">
        <v>5000000</v>
      </c>
      <c r="L90" s="31">
        <f t="shared" si="6"/>
        <v>8450000</v>
      </c>
      <c r="M90" s="31" t="s">
        <v>146</v>
      </c>
      <c r="N90" s="31">
        <f t="shared" si="7"/>
        <v>1098500</v>
      </c>
      <c r="O90" s="31" t="s">
        <v>129</v>
      </c>
      <c r="P90" s="32">
        <v>13</v>
      </c>
      <c r="Q90" s="17" t="s">
        <v>543</v>
      </c>
      <c r="R90" s="17" t="s">
        <v>544</v>
      </c>
      <c r="S90" s="4" t="s">
        <v>641</v>
      </c>
      <c r="T90" s="74"/>
      <c r="U90" s="27"/>
      <c r="V90" s="27"/>
      <c r="W90" s="27"/>
      <c r="X90" s="17" t="s">
        <v>552</v>
      </c>
    </row>
    <row r="91" spans="1:24" ht="30" x14ac:dyDescent="0.25">
      <c r="A91" s="27" t="s">
        <v>449</v>
      </c>
      <c r="B91" s="28">
        <v>10100068</v>
      </c>
      <c r="C91" s="28" t="s">
        <v>72</v>
      </c>
      <c r="D91" s="29">
        <v>498</v>
      </c>
      <c r="E91" s="27" t="s">
        <v>451</v>
      </c>
      <c r="F91" s="27" t="s">
        <v>450</v>
      </c>
      <c r="G91" s="27" t="s">
        <v>72</v>
      </c>
      <c r="H91" s="27" t="s">
        <v>73</v>
      </c>
      <c r="I91" s="30">
        <v>3153332180</v>
      </c>
      <c r="J91" s="35" t="s">
        <v>452</v>
      </c>
      <c r="K91" s="91">
        <v>3000000</v>
      </c>
      <c r="L91" s="31">
        <f t="shared" si="6"/>
        <v>5670000</v>
      </c>
      <c r="M91" s="31" t="s">
        <v>347</v>
      </c>
      <c r="N91" s="31">
        <f t="shared" si="7"/>
        <v>737100</v>
      </c>
      <c r="O91" s="31" t="s">
        <v>348</v>
      </c>
      <c r="P91" s="32">
        <v>13</v>
      </c>
      <c r="Q91" s="17" t="s">
        <v>545</v>
      </c>
      <c r="R91" s="17" t="s">
        <v>546</v>
      </c>
      <c r="S91" s="17" t="s">
        <v>956</v>
      </c>
      <c r="T91" s="74"/>
      <c r="U91" s="27"/>
      <c r="V91" s="27"/>
      <c r="W91" s="27"/>
      <c r="X91" s="17" t="s">
        <v>386</v>
      </c>
    </row>
    <row r="92" spans="1:24" ht="30" x14ac:dyDescent="0.25">
      <c r="A92" s="17" t="s">
        <v>547</v>
      </c>
      <c r="B92" s="17">
        <v>42878533</v>
      </c>
      <c r="C92" s="17" t="s">
        <v>280</v>
      </c>
      <c r="D92" s="17">
        <v>499</v>
      </c>
      <c r="E92" s="17" t="s">
        <v>548</v>
      </c>
      <c r="F92" s="17" t="s">
        <v>551</v>
      </c>
      <c r="G92" s="17" t="s">
        <v>72</v>
      </c>
      <c r="H92" s="17" t="s">
        <v>73</v>
      </c>
      <c r="I92" s="17">
        <v>3137916223</v>
      </c>
      <c r="J92" s="90" t="s">
        <v>549</v>
      </c>
      <c r="K92" s="91">
        <v>4000000</v>
      </c>
      <c r="L92" s="31">
        <f t="shared" si="6"/>
        <v>7060000</v>
      </c>
      <c r="M92" s="31" t="s">
        <v>287</v>
      </c>
      <c r="N92" s="31">
        <f t="shared" si="7"/>
        <v>917800</v>
      </c>
      <c r="O92" s="31" t="s">
        <v>288</v>
      </c>
      <c r="P92" s="32">
        <v>13</v>
      </c>
      <c r="Q92" s="17" t="s">
        <v>385</v>
      </c>
      <c r="R92" s="17" t="s">
        <v>550</v>
      </c>
      <c r="S92" s="17" t="s">
        <v>956</v>
      </c>
      <c r="T92" s="74"/>
      <c r="U92" s="27"/>
      <c r="V92" s="27"/>
      <c r="W92" s="27"/>
      <c r="X92" s="17" t="s">
        <v>366</v>
      </c>
    </row>
    <row r="93" spans="1:24" ht="30.75" thickBot="1" x14ac:dyDescent="0.3">
      <c r="A93" s="17" t="s">
        <v>556</v>
      </c>
      <c r="B93" s="17">
        <v>8271533</v>
      </c>
      <c r="C93" s="17" t="s">
        <v>557</v>
      </c>
      <c r="D93" s="17">
        <v>500</v>
      </c>
      <c r="E93" s="17" t="s">
        <v>558</v>
      </c>
      <c r="F93" s="17" t="s">
        <v>559</v>
      </c>
      <c r="G93" s="17" t="s">
        <v>72</v>
      </c>
      <c r="H93" s="17" t="s">
        <v>73</v>
      </c>
      <c r="I93" s="17">
        <v>3215564497</v>
      </c>
      <c r="J93" s="90" t="s">
        <v>562</v>
      </c>
      <c r="K93" s="91">
        <v>600000</v>
      </c>
      <c r="L93" s="31">
        <f t="shared" si="6"/>
        <v>2334000</v>
      </c>
      <c r="M93" s="31" t="s">
        <v>560</v>
      </c>
      <c r="N93" s="31">
        <f t="shared" si="7"/>
        <v>303420</v>
      </c>
      <c r="O93" s="31" t="s">
        <v>561</v>
      </c>
      <c r="P93" s="32">
        <v>13</v>
      </c>
      <c r="Q93" s="17" t="s">
        <v>385</v>
      </c>
      <c r="R93" s="17" t="s">
        <v>550</v>
      </c>
      <c r="S93" s="17" t="s">
        <v>956</v>
      </c>
      <c r="T93" s="74"/>
      <c r="U93" s="27"/>
      <c r="V93" s="27"/>
      <c r="W93" s="27"/>
      <c r="X93" s="17" t="s">
        <v>366</v>
      </c>
    </row>
    <row r="94" spans="1:24" ht="45.75" thickBot="1" x14ac:dyDescent="0.3">
      <c r="A94" s="17" t="s">
        <v>616</v>
      </c>
      <c r="B94" s="17">
        <v>10123881</v>
      </c>
      <c r="C94" s="17" t="s">
        <v>72</v>
      </c>
      <c r="D94" s="17">
        <v>501</v>
      </c>
      <c r="E94" s="17" t="s">
        <v>563</v>
      </c>
      <c r="F94" s="17" t="s">
        <v>564</v>
      </c>
      <c r="G94" s="17" t="s">
        <v>72</v>
      </c>
      <c r="H94" s="17" t="s">
        <v>73</v>
      </c>
      <c r="I94" s="17">
        <v>3217392626</v>
      </c>
      <c r="J94" s="90" t="s">
        <v>565</v>
      </c>
      <c r="K94" s="91">
        <v>540000</v>
      </c>
      <c r="L94" s="31">
        <f t="shared" si="6"/>
        <v>2250600</v>
      </c>
      <c r="M94" s="31" t="s">
        <v>566</v>
      </c>
      <c r="N94" s="31">
        <f t="shared" si="7"/>
        <v>292578</v>
      </c>
      <c r="O94" s="31" t="s">
        <v>567</v>
      </c>
      <c r="P94" s="32">
        <v>13</v>
      </c>
      <c r="Q94" s="17" t="s">
        <v>568</v>
      </c>
      <c r="R94" s="17" t="s">
        <v>569</v>
      </c>
      <c r="S94" s="4" t="s">
        <v>641</v>
      </c>
      <c r="T94" s="74"/>
      <c r="U94" s="27"/>
      <c r="V94" s="27"/>
      <c r="W94" s="27"/>
      <c r="X94" s="17" t="s">
        <v>615</v>
      </c>
    </row>
    <row r="95" spans="1:24" ht="45.75" thickBot="1" x14ac:dyDescent="0.3">
      <c r="A95" s="17" t="s">
        <v>575</v>
      </c>
      <c r="B95" s="17">
        <v>7497396</v>
      </c>
      <c r="C95" s="17" t="s">
        <v>114</v>
      </c>
      <c r="D95" s="17">
        <v>502</v>
      </c>
      <c r="E95" s="17" t="s">
        <v>576</v>
      </c>
      <c r="F95" s="17" t="s">
        <v>577</v>
      </c>
      <c r="G95" s="17" t="s">
        <v>89</v>
      </c>
      <c r="H95" s="17" t="s">
        <v>73</v>
      </c>
      <c r="I95" s="17">
        <v>3154870032</v>
      </c>
      <c r="J95" s="90" t="s">
        <v>578</v>
      </c>
      <c r="K95" s="91">
        <v>540000</v>
      </c>
      <c r="L95" s="31">
        <f t="shared" si="6"/>
        <v>2250600</v>
      </c>
      <c r="M95" s="31" t="s">
        <v>566</v>
      </c>
      <c r="N95" s="31">
        <f t="shared" si="7"/>
        <v>292578</v>
      </c>
      <c r="O95" s="31" t="s">
        <v>567</v>
      </c>
      <c r="P95" s="32">
        <v>13</v>
      </c>
      <c r="Q95" s="17" t="s">
        <v>579</v>
      </c>
      <c r="R95" s="17" t="s">
        <v>580</v>
      </c>
      <c r="S95" s="4" t="s">
        <v>641</v>
      </c>
      <c r="T95" s="74"/>
      <c r="U95" s="27"/>
      <c r="V95" s="27"/>
      <c r="W95" s="27"/>
      <c r="X95" s="17" t="s">
        <v>615</v>
      </c>
    </row>
    <row r="96" spans="1:24" ht="45.75" thickBot="1" x14ac:dyDescent="0.3">
      <c r="A96" s="17" t="s">
        <v>581</v>
      </c>
      <c r="B96" s="17">
        <v>24761361</v>
      </c>
      <c r="C96" s="17" t="s">
        <v>582</v>
      </c>
      <c r="D96" s="17">
        <v>503</v>
      </c>
      <c r="E96" s="17" t="s">
        <v>584</v>
      </c>
      <c r="F96" s="17" t="s">
        <v>585</v>
      </c>
      <c r="G96" s="17" t="s">
        <v>72</v>
      </c>
      <c r="H96" s="17" t="s">
        <v>73</v>
      </c>
      <c r="I96" s="17">
        <v>3215649948</v>
      </c>
      <c r="J96" s="90" t="s">
        <v>583</v>
      </c>
      <c r="K96" s="91">
        <v>350000</v>
      </c>
      <c r="L96" s="31">
        <f t="shared" si="6"/>
        <v>1986500</v>
      </c>
      <c r="M96" s="31" t="s">
        <v>148</v>
      </c>
      <c r="N96" s="31">
        <f t="shared" si="7"/>
        <v>258245</v>
      </c>
      <c r="O96" s="31" t="s">
        <v>131</v>
      </c>
      <c r="P96" s="32">
        <v>13</v>
      </c>
      <c r="Q96" s="17" t="s">
        <v>579</v>
      </c>
      <c r="R96" s="17" t="s">
        <v>580</v>
      </c>
      <c r="S96" s="4" t="s">
        <v>641</v>
      </c>
      <c r="T96" s="74"/>
      <c r="U96" s="27"/>
      <c r="V96" s="27"/>
      <c r="W96" s="27"/>
      <c r="X96" s="17" t="s">
        <v>454</v>
      </c>
    </row>
    <row r="97" spans="1:24" ht="30" x14ac:dyDescent="0.25">
      <c r="A97" s="17" t="s">
        <v>586</v>
      </c>
      <c r="B97" s="17">
        <v>10023511</v>
      </c>
      <c r="C97" s="17" t="s">
        <v>72</v>
      </c>
      <c r="D97" s="17">
        <v>504</v>
      </c>
      <c r="E97" s="17" t="s">
        <v>587</v>
      </c>
      <c r="F97" s="17" t="s">
        <v>588</v>
      </c>
      <c r="G97" s="17" t="s">
        <v>89</v>
      </c>
      <c r="H97" s="17" t="s">
        <v>73</v>
      </c>
      <c r="I97" s="17">
        <v>3122562580</v>
      </c>
      <c r="J97" s="90" t="s">
        <v>589</v>
      </c>
      <c r="K97" s="91">
        <v>450000</v>
      </c>
      <c r="L97" s="31">
        <f t="shared" si="6"/>
        <v>2125500</v>
      </c>
      <c r="M97" s="31" t="s">
        <v>590</v>
      </c>
      <c r="N97" s="31">
        <f t="shared" si="7"/>
        <v>276315</v>
      </c>
      <c r="O97" s="31" t="s">
        <v>591</v>
      </c>
      <c r="P97" s="32">
        <v>13</v>
      </c>
      <c r="Q97" s="17" t="s">
        <v>592</v>
      </c>
      <c r="R97" s="17" t="s">
        <v>593</v>
      </c>
      <c r="S97" s="17" t="s">
        <v>640</v>
      </c>
      <c r="T97" s="74"/>
      <c r="U97" s="27"/>
      <c r="V97" s="27"/>
      <c r="W97" s="27"/>
      <c r="X97" s="17" t="s">
        <v>594</v>
      </c>
    </row>
    <row r="98" spans="1:24" ht="45.75" thickBot="1" x14ac:dyDescent="0.3">
      <c r="A98" s="17" t="s">
        <v>595</v>
      </c>
      <c r="B98" s="17">
        <v>24954088</v>
      </c>
      <c r="C98" s="17" t="s">
        <v>72</v>
      </c>
      <c r="D98" s="121" t="s">
        <v>523</v>
      </c>
      <c r="E98" s="17" t="s">
        <v>596</v>
      </c>
      <c r="F98" s="17" t="s">
        <v>597</v>
      </c>
      <c r="G98" s="17" t="s">
        <v>72</v>
      </c>
      <c r="H98" s="17" t="s">
        <v>73</v>
      </c>
      <c r="I98" s="17">
        <v>3128651170</v>
      </c>
      <c r="J98" s="90" t="s">
        <v>598</v>
      </c>
      <c r="K98" s="91">
        <v>18000000</v>
      </c>
      <c r="L98" s="31">
        <f t="shared" si="6"/>
        <v>26520000</v>
      </c>
      <c r="M98" s="31" t="s">
        <v>599</v>
      </c>
      <c r="N98" s="31">
        <f t="shared" si="7"/>
        <v>3447600</v>
      </c>
      <c r="O98" s="31" t="s">
        <v>600</v>
      </c>
      <c r="P98" s="32">
        <v>13</v>
      </c>
      <c r="Q98" s="17" t="s">
        <v>601</v>
      </c>
      <c r="R98" s="17" t="s">
        <v>191</v>
      </c>
      <c r="S98" s="17" t="s">
        <v>640</v>
      </c>
      <c r="T98" s="74"/>
      <c r="U98" s="27"/>
      <c r="V98" s="27"/>
      <c r="W98" s="27"/>
      <c r="X98" s="17" t="s">
        <v>553</v>
      </c>
    </row>
    <row r="99" spans="1:24" ht="45.75" thickBot="1" x14ac:dyDescent="0.3">
      <c r="A99" s="17" t="s">
        <v>602</v>
      </c>
      <c r="B99" s="17">
        <v>34056113</v>
      </c>
      <c r="C99" s="17" t="s">
        <v>72</v>
      </c>
      <c r="D99" s="17">
        <v>505</v>
      </c>
      <c r="E99" s="17" t="s">
        <v>603</v>
      </c>
      <c r="F99" s="17" t="s">
        <v>604</v>
      </c>
      <c r="G99" s="17" t="s">
        <v>89</v>
      </c>
      <c r="H99" s="17" t="s">
        <v>73</v>
      </c>
      <c r="I99" s="17">
        <v>3217279594</v>
      </c>
      <c r="J99" s="90" t="s">
        <v>605</v>
      </c>
      <c r="K99" s="91">
        <v>640000</v>
      </c>
      <c r="L99" s="31">
        <f t="shared" si="6"/>
        <v>2389600</v>
      </c>
      <c r="M99" s="31" t="s">
        <v>606</v>
      </c>
      <c r="N99" s="31">
        <f t="shared" si="7"/>
        <v>310648</v>
      </c>
      <c r="O99" s="31" t="s">
        <v>607</v>
      </c>
      <c r="P99" s="32">
        <v>13</v>
      </c>
      <c r="Q99" s="17" t="s">
        <v>415</v>
      </c>
      <c r="R99" s="17" t="s">
        <v>608</v>
      </c>
      <c r="S99" s="4" t="s">
        <v>641</v>
      </c>
      <c r="T99" s="74"/>
      <c r="U99" s="27"/>
      <c r="V99" s="27"/>
      <c r="W99" s="27"/>
      <c r="X99" s="17" t="s">
        <v>615</v>
      </c>
    </row>
    <row r="100" spans="1:24" ht="45.75" thickBot="1" x14ac:dyDescent="0.3">
      <c r="A100" s="17" t="s">
        <v>609</v>
      </c>
      <c r="B100" s="17">
        <v>42055869</v>
      </c>
      <c r="C100" s="17" t="s">
        <v>72</v>
      </c>
      <c r="D100" s="17">
        <v>506</v>
      </c>
      <c r="E100" s="17" t="s">
        <v>610</v>
      </c>
      <c r="F100" s="17" t="s">
        <v>611</v>
      </c>
      <c r="G100" s="17" t="s">
        <v>89</v>
      </c>
      <c r="H100" s="17" t="s">
        <v>73</v>
      </c>
      <c r="I100" s="17">
        <v>3147515810</v>
      </c>
      <c r="J100" s="90" t="s">
        <v>612</v>
      </c>
      <c r="K100" s="91">
        <v>2540000</v>
      </c>
      <c r="L100" s="31">
        <f t="shared" si="6"/>
        <v>5030600</v>
      </c>
      <c r="M100" s="31" t="s">
        <v>613</v>
      </c>
      <c r="N100" s="31">
        <f t="shared" si="7"/>
        <v>653978</v>
      </c>
      <c r="O100" s="31" t="s">
        <v>614</v>
      </c>
      <c r="P100" s="32">
        <v>13</v>
      </c>
      <c r="Q100" s="17" t="s">
        <v>415</v>
      </c>
      <c r="R100" s="17" t="s">
        <v>608</v>
      </c>
      <c r="S100" s="4" t="s">
        <v>641</v>
      </c>
      <c r="T100" s="74"/>
      <c r="U100" s="27"/>
      <c r="V100" s="27"/>
      <c r="W100" s="27"/>
      <c r="X100" s="17" t="s">
        <v>615</v>
      </c>
    </row>
    <row r="101" spans="1:24" ht="45.75" thickBot="1" x14ac:dyDescent="0.3">
      <c r="A101" s="27" t="s">
        <v>328</v>
      </c>
      <c r="B101" s="28">
        <v>10532530</v>
      </c>
      <c r="C101" s="122" t="s">
        <v>617</v>
      </c>
      <c r="D101" s="123" t="s">
        <v>618</v>
      </c>
      <c r="E101" s="27" t="s">
        <v>329</v>
      </c>
      <c r="F101" s="27" t="s">
        <v>330</v>
      </c>
      <c r="G101" s="27" t="s">
        <v>217</v>
      </c>
      <c r="H101" s="27" t="s">
        <v>220</v>
      </c>
      <c r="I101" s="78">
        <v>3152645900</v>
      </c>
      <c r="J101" s="35" t="s">
        <v>620</v>
      </c>
      <c r="K101" s="31">
        <v>5000000</v>
      </c>
      <c r="L101" s="31">
        <f t="shared" si="6"/>
        <v>8450000</v>
      </c>
      <c r="M101" s="31" t="s">
        <v>146</v>
      </c>
      <c r="N101" s="31">
        <f t="shared" si="7"/>
        <v>1098500</v>
      </c>
      <c r="O101" s="31" t="s">
        <v>619</v>
      </c>
      <c r="P101" s="32">
        <v>13</v>
      </c>
      <c r="Q101" s="33" t="s">
        <v>208</v>
      </c>
      <c r="R101" s="33" t="s">
        <v>209</v>
      </c>
      <c r="S101" s="4" t="s">
        <v>641</v>
      </c>
      <c r="T101" s="74"/>
      <c r="U101" s="27"/>
      <c r="V101" s="27"/>
      <c r="W101" s="27"/>
      <c r="X101" s="17" t="s">
        <v>553</v>
      </c>
    </row>
    <row r="102" spans="1:24" ht="45.75" thickBot="1" x14ac:dyDescent="0.3">
      <c r="A102" s="17" t="s">
        <v>621</v>
      </c>
      <c r="B102" s="17">
        <v>24937844</v>
      </c>
      <c r="C102" s="17" t="s">
        <v>72</v>
      </c>
      <c r="D102" s="17">
        <v>427</v>
      </c>
      <c r="E102" s="17" t="s">
        <v>622</v>
      </c>
      <c r="F102" s="17" t="s">
        <v>623</v>
      </c>
      <c r="G102" s="17" t="s">
        <v>72</v>
      </c>
      <c r="H102" s="17" t="s">
        <v>73</v>
      </c>
      <c r="I102" s="17">
        <v>3115742391</v>
      </c>
      <c r="J102" s="90" t="s">
        <v>624</v>
      </c>
      <c r="K102" s="91">
        <v>540000</v>
      </c>
      <c r="L102" s="31">
        <f t="shared" si="6"/>
        <v>2250600</v>
      </c>
      <c r="M102" s="31" t="s">
        <v>566</v>
      </c>
      <c r="N102" s="31">
        <f t="shared" si="7"/>
        <v>292578</v>
      </c>
      <c r="O102" s="31" t="s">
        <v>567</v>
      </c>
      <c r="P102" s="32">
        <v>13</v>
      </c>
      <c r="Q102" s="17" t="s">
        <v>625</v>
      </c>
      <c r="R102" s="17" t="s">
        <v>626</v>
      </c>
      <c r="S102" s="17" t="s">
        <v>956</v>
      </c>
      <c r="T102" s="74"/>
      <c r="U102" s="27"/>
      <c r="V102" s="27"/>
      <c r="W102" s="27"/>
      <c r="X102" s="17" t="s">
        <v>615</v>
      </c>
    </row>
    <row r="103" spans="1:24" ht="45.75" thickBot="1" x14ac:dyDescent="0.3">
      <c r="A103" s="17" t="s">
        <v>627</v>
      </c>
      <c r="B103" s="17">
        <v>16231799</v>
      </c>
      <c r="C103" s="17" t="s">
        <v>628</v>
      </c>
      <c r="D103" s="17">
        <v>428</v>
      </c>
      <c r="E103" s="17" t="s">
        <v>629</v>
      </c>
      <c r="F103" s="17" t="s">
        <v>630</v>
      </c>
      <c r="G103" s="17" t="s">
        <v>72</v>
      </c>
      <c r="H103" s="17" t="s">
        <v>73</v>
      </c>
      <c r="I103" s="17">
        <v>3104733599</v>
      </c>
      <c r="J103" s="90" t="s">
        <v>631</v>
      </c>
      <c r="K103" s="91">
        <v>2040000</v>
      </c>
      <c r="L103" s="31">
        <f t="shared" si="6"/>
        <v>4335600</v>
      </c>
      <c r="M103" s="31" t="s">
        <v>632</v>
      </c>
      <c r="N103" s="31">
        <f t="shared" si="7"/>
        <v>563628</v>
      </c>
      <c r="O103" s="31" t="s">
        <v>633</v>
      </c>
      <c r="P103" s="32">
        <v>13</v>
      </c>
      <c r="Q103" s="17" t="s">
        <v>625</v>
      </c>
      <c r="R103" s="17" t="s">
        <v>626</v>
      </c>
      <c r="S103" s="4" t="s">
        <v>641</v>
      </c>
      <c r="T103" s="74"/>
      <c r="U103" s="27"/>
      <c r="V103" s="27"/>
      <c r="W103" s="27"/>
      <c r="X103" s="17" t="s">
        <v>615</v>
      </c>
    </row>
    <row r="104" spans="1:24" ht="30.75" thickBot="1" x14ac:dyDescent="0.3">
      <c r="A104" s="17" t="s">
        <v>44</v>
      </c>
      <c r="B104" s="17">
        <v>31419074</v>
      </c>
      <c r="C104" s="17" t="s">
        <v>628</v>
      </c>
      <c r="D104" s="17">
        <v>512</v>
      </c>
      <c r="E104" s="17" t="s">
        <v>931</v>
      </c>
      <c r="F104" s="17" t="s">
        <v>932</v>
      </c>
      <c r="G104" s="17" t="s">
        <v>628</v>
      </c>
      <c r="H104" s="17" t="s">
        <v>220</v>
      </c>
      <c r="I104" s="17">
        <v>3137320922</v>
      </c>
      <c r="J104" s="90" t="s">
        <v>933</v>
      </c>
      <c r="K104" s="91">
        <v>500000</v>
      </c>
      <c r="L104" s="31">
        <f t="shared" si="6"/>
        <v>2195000</v>
      </c>
      <c r="M104" s="31" t="s">
        <v>141</v>
      </c>
      <c r="N104" s="31">
        <f t="shared" si="7"/>
        <v>285350</v>
      </c>
      <c r="O104" s="31" t="s">
        <v>124</v>
      </c>
      <c r="P104" s="32">
        <v>13</v>
      </c>
      <c r="Q104" s="17" t="s">
        <v>934</v>
      </c>
      <c r="R104" s="17" t="s">
        <v>935</v>
      </c>
      <c r="S104" s="17" t="s">
        <v>956</v>
      </c>
      <c r="T104" s="74"/>
      <c r="U104" s="27"/>
      <c r="V104" s="27"/>
      <c r="W104" s="27"/>
      <c r="X104" s="17" t="s">
        <v>936</v>
      </c>
    </row>
    <row r="105" spans="1:24" ht="45.75" thickBot="1" x14ac:dyDescent="0.3">
      <c r="A105" s="17" t="s">
        <v>937</v>
      </c>
      <c r="B105" s="17">
        <v>25157828</v>
      </c>
      <c r="C105" s="17" t="s">
        <v>938</v>
      </c>
      <c r="D105" s="17">
        <v>513</v>
      </c>
      <c r="E105" s="17" t="s">
        <v>939</v>
      </c>
      <c r="F105" s="17" t="s">
        <v>940</v>
      </c>
      <c r="G105" s="17" t="s">
        <v>938</v>
      </c>
      <c r="H105" s="17" t="s">
        <v>73</v>
      </c>
      <c r="I105" s="17">
        <v>3218330369</v>
      </c>
      <c r="J105" s="90" t="s">
        <v>941</v>
      </c>
      <c r="K105" s="91">
        <v>840000</v>
      </c>
      <c r="L105" s="31">
        <f t="shared" si="6"/>
        <v>2667600</v>
      </c>
      <c r="M105" s="31" t="s">
        <v>942</v>
      </c>
      <c r="N105" s="31">
        <f t="shared" si="7"/>
        <v>346788</v>
      </c>
      <c r="O105" s="31" t="s">
        <v>943</v>
      </c>
      <c r="P105" s="32">
        <v>13</v>
      </c>
      <c r="Q105" s="17" t="s">
        <v>934</v>
      </c>
      <c r="R105" s="17" t="s">
        <v>935</v>
      </c>
      <c r="S105" s="4" t="s">
        <v>641</v>
      </c>
      <c r="T105" s="74"/>
      <c r="U105" s="27"/>
      <c r="V105" s="27"/>
      <c r="W105" s="27"/>
      <c r="X105" s="17" t="s">
        <v>615</v>
      </c>
    </row>
    <row r="106" spans="1:24" ht="30.75" thickBot="1" x14ac:dyDescent="0.3">
      <c r="A106" s="27" t="s">
        <v>511</v>
      </c>
      <c r="B106" s="17">
        <v>24929445</v>
      </c>
      <c r="C106" s="28" t="s">
        <v>72</v>
      </c>
      <c r="D106" s="29">
        <v>514</v>
      </c>
      <c r="E106" s="27" t="s">
        <v>512</v>
      </c>
      <c r="F106" s="27" t="s">
        <v>513</v>
      </c>
      <c r="G106" s="27" t="s">
        <v>72</v>
      </c>
      <c r="H106" s="27" t="s">
        <v>73</v>
      </c>
      <c r="I106" s="30">
        <v>3104454479</v>
      </c>
      <c r="J106" s="35" t="s">
        <v>514</v>
      </c>
      <c r="K106" s="91">
        <v>1000000</v>
      </c>
      <c r="L106" s="31">
        <f t="shared" si="6"/>
        <v>2890000</v>
      </c>
      <c r="M106" s="31" t="s">
        <v>944</v>
      </c>
      <c r="N106" s="31">
        <f t="shared" si="7"/>
        <v>375700</v>
      </c>
      <c r="O106" s="31" t="s">
        <v>125</v>
      </c>
      <c r="P106" s="32">
        <v>13</v>
      </c>
      <c r="Q106" s="17" t="s">
        <v>945</v>
      </c>
      <c r="R106" s="17" t="s">
        <v>946</v>
      </c>
      <c r="S106" s="4" t="s">
        <v>641</v>
      </c>
      <c r="T106" s="74"/>
      <c r="U106" s="27"/>
      <c r="V106" s="27"/>
      <c r="W106" s="27"/>
      <c r="X106" s="17" t="s">
        <v>936</v>
      </c>
    </row>
    <row r="107" spans="1:24" ht="30" x14ac:dyDescent="0.25">
      <c r="A107" s="17" t="s">
        <v>947</v>
      </c>
      <c r="B107" s="17">
        <v>1053802967</v>
      </c>
      <c r="C107" s="17" t="s">
        <v>80</v>
      </c>
      <c r="D107" s="121" t="s">
        <v>948</v>
      </c>
      <c r="E107" s="17" t="s">
        <v>949</v>
      </c>
      <c r="F107" s="17"/>
      <c r="G107" s="17" t="s">
        <v>950</v>
      </c>
      <c r="H107" s="17" t="s">
        <v>83</v>
      </c>
      <c r="I107" s="17">
        <v>3228977542</v>
      </c>
      <c r="J107" s="90" t="s">
        <v>951</v>
      </c>
      <c r="K107" s="91">
        <v>30000000</v>
      </c>
      <c r="L107" s="31">
        <f t="shared" si="6"/>
        <v>43200000</v>
      </c>
      <c r="M107" s="31" t="s">
        <v>952</v>
      </c>
      <c r="N107" s="31">
        <f t="shared" si="7"/>
        <v>5616000</v>
      </c>
      <c r="O107" s="31" t="s">
        <v>953</v>
      </c>
      <c r="P107" s="32">
        <v>13</v>
      </c>
      <c r="Q107" s="121" t="s">
        <v>954</v>
      </c>
      <c r="R107" s="121" t="s">
        <v>955</v>
      </c>
      <c r="S107" s="17" t="s">
        <v>640</v>
      </c>
      <c r="T107" s="74"/>
      <c r="U107" s="27"/>
      <c r="V107" s="27"/>
      <c r="W107" s="27"/>
      <c r="X107" s="17" t="s">
        <v>553</v>
      </c>
    </row>
    <row r="108" spans="1:24" ht="30" x14ac:dyDescent="0.25">
      <c r="A108" s="17" t="s">
        <v>1040</v>
      </c>
      <c r="B108" s="36">
        <v>10183030</v>
      </c>
      <c r="C108" s="17" t="s">
        <v>1041</v>
      </c>
      <c r="D108" s="17">
        <v>515</v>
      </c>
      <c r="E108" s="17" t="s">
        <v>1042</v>
      </c>
      <c r="F108" s="17" t="s">
        <v>1043</v>
      </c>
      <c r="G108" s="17" t="s">
        <v>1041</v>
      </c>
      <c r="H108" s="17" t="s">
        <v>83</v>
      </c>
      <c r="I108" s="134">
        <v>3142599562</v>
      </c>
      <c r="J108" s="90" t="s">
        <v>1045</v>
      </c>
      <c r="K108" s="91">
        <v>1500000</v>
      </c>
      <c r="L108" s="31">
        <f t="shared" si="6"/>
        <v>3585000</v>
      </c>
      <c r="M108" s="31" t="s">
        <v>136</v>
      </c>
      <c r="N108" s="31">
        <f t="shared" si="7"/>
        <v>466050</v>
      </c>
      <c r="O108" s="31" t="s">
        <v>120</v>
      </c>
      <c r="P108" s="32">
        <v>13</v>
      </c>
      <c r="Q108" s="17" t="s">
        <v>1046</v>
      </c>
      <c r="R108" s="17" t="s">
        <v>1047</v>
      </c>
      <c r="S108" s="17" t="s">
        <v>1048</v>
      </c>
      <c r="T108" s="74"/>
      <c r="U108" s="27"/>
      <c r="V108" s="27"/>
      <c r="W108" s="27"/>
      <c r="X108" s="17" t="s">
        <v>386</v>
      </c>
    </row>
    <row r="109" spans="1:24" ht="30" x14ac:dyDescent="0.25">
      <c r="A109" s="17" t="s">
        <v>581</v>
      </c>
      <c r="B109" s="36">
        <v>24761361</v>
      </c>
      <c r="C109" s="17" t="s">
        <v>582</v>
      </c>
      <c r="D109" s="17">
        <v>516</v>
      </c>
      <c r="E109" s="17" t="s">
        <v>584</v>
      </c>
      <c r="F109" s="17" t="s">
        <v>585</v>
      </c>
      <c r="G109" s="17" t="s">
        <v>72</v>
      </c>
      <c r="H109" s="17" t="s">
        <v>73</v>
      </c>
      <c r="I109" s="17">
        <v>3215649948</v>
      </c>
      <c r="J109" s="90" t="s">
        <v>583</v>
      </c>
      <c r="K109" s="91">
        <v>1000000</v>
      </c>
      <c r="L109" s="31">
        <f t="shared" si="6"/>
        <v>2890000</v>
      </c>
      <c r="M109" s="31" t="s">
        <v>142</v>
      </c>
      <c r="N109" s="31">
        <f t="shared" si="7"/>
        <v>375700</v>
      </c>
      <c r="O109" s="31" t="s">
        <v>125</v>
      </c>
      <c r="P109" s="32">
        <v>13</v>
      </c>
      <c r="Q109" s="17" t="s">
        <v>1049</v>
      </c>
      <c r="R109" s="17" t="s">
        <v>1050</v>
      </c>
      <c r="S109" s="17" t="s">
        <v>1048</v>
      </c>
      <c r="T109" s="74"/>
      <c r="U109" s="27"/>
      <c r="V109" s="27"/>
      <c r="W109" s="27"/>
      <c r="X109" s="17" t="s">
        <v>936</v>
      </c>
    </row>
    <row r="110" spans="1:24" ht="30" x14ac:dyDescent="0.25">
      <c r="A110" s="17" t="s">
        <v>224</v>
      </c>
      <c r="B110" s="135">
        <v>1087994842</v>
      </c>
      <c r="C110" s="28" t="s">
        <v>89</v>
      </c>
      <c r="D110" s="17">
        <v>517</v>
      </c>
      <c r="E110" s="17" t="s">
        <v>1051</v>
      </c>
      <c r="F110" s="17" t="s">
        <v>1052</v>
      </c>
      <c r="G110" s="17" t="s">
        <v>72</v>
      </c>
      <c r="H110" s="17" t="s">
        <v>73</v>
      </c>
      <c r="I110" s="134">
        <v>3023016277</v>
      </c>
      <c r="J110" s="90" t="s">
        <v>1053</v>
      </c>
      <c r="K110" s="91">
        <v>500000</v>
      </c>
      <c r="L110" s="31">
        <f t="shared" si="6"/>
        <v>2195000</v>
      </c>
      <c r="M110" s="31" t="s">
        <v>141</v>
      </c>
      <c r="N110" s="31">
        <f t="shared" si="7"/>
        <v>285350</v>
      </c>
      <c r="O110" s="31" t="s">
        <v>124</v>
      </c>
      <c r="P110" s="32">
        <v>13</v>
      </c>
      <c r="Q110" s="17" t="s">
        <v>1049</v>
      </c>
      <c r="R110" s="17" t="s">
        <v>1050</v>
      </c>
      <c r="S110" s="17" t="s">
        <v>1048</v>
      </c>
      <c r="T110" s="74"/>
      <c r="U110" s="27"/>
      <c r="V110" s="27"/>
      <c r="W110" s="27"/>
      <c r="X110" s="17" t="s">
        <v>936</v>
      </c>
    </row>
    <row r="111" spans="1:24" ht="30" x14ac:dyDescent="0.25">
      <c r="A111" s="17" t="s">
        <v>474</v>
      </c>
      <c r="B111" s="36">
        <v>9955716</v>
      </c>
      <c r="C111" s="17" t="s">
        <v>475</v>
      </c>
      <c r="D111" s="17">
        <v>518</v>
      </c>
      <c r="E111" s="17" t="s">
        <v>476</v>
      </c>
      <c r="F111" s="17" t="s">
        <v>1054</v>
      </c>
      <c r="G111" s="17" t="s">
        <v>72</v>
      </c>
      <c r="H111" s="17" t="s">
        <v>73</v>
      </c>
      <c r="I111" s="134">
        <v>3114088034</v>
      </c>
      <c r="J111" s="90" t="s">
        <v>478</v>
      </c>
      <c r="K111" s="91">
        <v>1000000</v>
      </c>
      <c r="L111" s="31">
        <f t="shared" si="6"/>
        <v>2890000</v>
      </c>
      <c r="M111" s="31" t="s">
        <v>142</v>
      </c>
      <c r="N111" s="31">
        <f t="shared" si="7"/>
        <v>375700</v>
      </c>
      <c r="O111" s="31" t="s">
        <v>125</v>
      </c>
      <c r="P111" s="32">
        <v>13</v>
      </c>
      <c r="Q111" s="17" t="s">
        <v>1049</v>
      </c>
      <c r="R111" s="17" t="s">
        <v>1050</v>
      </c>
      <c r="S111" s="17" t="s">
        <v>1048</v>
      </c>
      <c r="T111" s="74"/>
      <c r="U111" s="27"/>
      <c r="V111" s="27"/>
      <c r="W111" s="27"/>
      <c r="X111" s="17" t="s">
        <v>386</v>
      </c>
    </row>
    <row r="112" spans="1:24" x14ac:dyDescent="0.25">
      <c r="A112" s="17"/>
      <c r="B112" s="36"/>
      <c r="C112" s="17"/>
      <c r="D112" s="17"/>
      <c r="E112" s="17"/>
      <c r="F112" s="17"/>
      <c r="G112" s="17"/>
      <c r="H112" s="17"/>
      <c r="I112" s="17"/>
      <c r="J112" s="90"/>
      <c r="K112" s="91"/>
      <c r="L112" s="31">
        <f t="shared" si="6"/>
        <v>1500000</v>
      </c>
      <c r="M112" s="31"/>
      <c r="N112" s="31">
        <f t="shared" si="7"/>
        <v>195000</v>
      </c>
      <c r="O112" s="31"/>
      <c r="P112" s="32"/>
      <c r="Q112" s="17"/>
      <c r="R112" s="17"/>
      <c r="S112" s="17"/>
      <c r="T112" s="74"/>
      <c r="U112" s="27"/>
      <c r="V112" s="27"/>
      <c r="W112" s="27"/>
      <c r="X112" s="17"/>
    </row>
    <row r="113" spans="1:24" x14ac:dyDescent="0.25">
      <c r="A113" s="17"/>
      <c r="B113" s="36"/>
      <c r="C113" s="17"/>
      <c r="D113" s="17"/>
      <c r="E113" s="17"/>
      <c r="F113" s="17"/>
      <c r="G113" s="17"/>
      <c r="H113" s="17"/>
      <c r="I113" s="17"/>
      <c r="J113" s="90"/>
      <c r="K113" s="91"/>
      <c r="L113" s="31">
        <f t="shared" si="6"/>
        <v>1500000</v>
      </c>
      <c r="M113" s="31"/>
      <c r="N113" s="31">
        <f t="shared" si="7"/>
        <v>195000</v>
      </c>
      <c r="O113" s="31"/>
      <c r="P113" s="32"/>
      <c r="Q113" s="17"/>
      <c r="R113" s="17"/>
      <c r="S113" s="17"/>
      <c r="T113" s="74"/>
      <c r="U113" s="27"/>
      <c r="V113" s="27"/>
      <c r="W113" s="27"/>
      <c r="X113" s="17"/>
    </row>
    <row r="114" spans="1:24" x14ac:dyDescent="0.25">
      <c r="A114" s="17"/>
      <c r="B114" s="36"/>
      <c r="C114" s="17"/>
      <c r="D114" s="17"/>
      <c r="E114" s="17"/>
      <c r="F114" s="17"/>
      <c r="G114" s="17"/>
      <c r="H114" s="17"/>
      <c r="I114" s="17"/>
      <c r="J114" s="90"/>
      <c r="K114" s="91"/>
      <c r="L114" s="31">
        <f t="shared" si="6"/>
        <v>1500000</v>
      </c>
      <c r="M114" s="31"/>
      <c r="N114" s="31">
        <f t="shared" si="7"/>
        <v>195000</v>
      </c>
      <c r="O114" s="31"/>
      <c r="P114" s="32"/>
      <c r="Q114" s="17"/>
      <c r="R114" s="17"/>
      <c r="S114" s="17"/>
      <c r="T114" s="74"/>
      <c r="U114" s="27"/>
      <c r="V114" s="27"/>
      <c r="W114" s="27"/>
      <c r="X114" s="17"/>
    </row>
    <row r="115" spans="1:24" x14ac:dyDescent="0.25">
      <c r="A115" s="17"/>
      <c r="B115" s="36"/>
      <c r="C115" s="17"/>
      <c r="D115" s="17"/>
      <c r="E115" s="17"/>
      <c r="F115" s="17"/>
      <c r="G115" s="17"/>
      <c r="H115" s="17"/>
      <c r="I115" s="17"/>
      <c r="J115" s="90"/>
      <c r="K115" s="91"/>
      <c r="L115" s="31">
        <f t="shared" si="6"/>
        <v>1500000</v>
      </c>
      <c r="M115" s="31"/>
      <c r="N115" s="31">
        <f t="shared" si="7"/>
        <v>195000</v>
      </c>
      <c r="O115" s="31"/>
      <c r="P115" s="32"/>
      <c r="Q115" s="17"/>
      <c r="R115" s="17"/>
      <c r="S115" s="17"/>
      <c r="T115" s="74"/>
      <c r="U115" s="27"/>
      <c r="V115" s="27"/>
      <c r="W115" s="27"/>
      <c r="X115" s="17"/>
    </row>
    <row r="116" spans="1:24" x14ac:dyDescent="0.25">
      <c r="A116" s="17"/>
      <c r="B116" s="36"/>
      <c r="C116" s="17"/>
      <c r="D116" s="17"/>
      <c r="E116" s="17"/>
      <c r="F116" s="17"/>
      <c r="G116" s="17"/>
      <c r="H116" s="17"/>
      <c r="I116" s="17"/>
      <c r="J116" s="90"/>
      <c r="K116" s="91"/>
      <c r="L116" s="31">
        <f>(((K116*0.13))*3+1500000)+K116</f>
        <v>1500000</v>
      </c>
      <c r="M116" s="31"/>
      <c r="N116" s="31">
        <f t="shared" si="7"/>
        <v>195000</v>
      </c>
      <c r="O116" s="31"/>
      <c r="P116" s="32"/>
      <c r="Q116" s="17"/>
      <c r="R116" s="17"/>
      <c r="S116" s="17"/>
      <c r="T116" s="36"/>
      <c r="U116" s="17"/>
      <c r="V116" s="17"/>
      <c r="W116" s="17"/>
      <c r="X116" s="17"/>
    </row>
    <row r="117" spans="1:24" x14ac:dyDescent="0.25">
      <c r="B117" s="61"/>
      <c r="J117" s="92"/>
      <c r="K117" s="93"/>
      <c r="L117" s="94"/>
      <c r="M117" s="94"/>
      <c r="N117" s="94"/>
      <c r="O117" s="94"/>
      <c r="P117" s="95"/>
      <c r="T117" s="61"/>
    </row>
    <row r="118" spans="1:24" x14ac:dyDescent="0.25">
      <c r="K118" s="25">
        <f>SUM(K2:K116)</f>
        <v>296487000</v>
      </c>
      <c r="T118">
        <f>SUM(T2:T116)</f>
        <v>63471000</v>
      </c>
    </row>
    <row r="120" spans="1:24" x14ac:dyDescent="0.25">
      <c r="K120" s="25">
        <f>SUM(K42,K41,K39,K37,K35,K34,K33,K30,K29,K23,K22,K21,K2)</f>
        <v>18297000</v>
      </c>
    </row>
  </sheetData>
  <autoFilter ref="A1:X118" xr:uid="{00000000-0009-0000-0000-000000000000}">
    <sortState xmlns:xlrd2="http://schemas.microsoft.com/office/spreadsheetml/2017/richdata2" ref="A3:X118">
      <sortCondition ref="U1:U118"/>
    </sortState>
  </autoFilter>
  <conditionalFormatting sqref="D115:D1048576 D1:D107">
    <cfRule type="duplicateValues" dxfId="38" priority="6"/>
  </conditionalFormatting>
  <conditionalFormatting sqref="D108">
    <cfRule type="duplicateValues" dxfId="37" priority="5"/>
  </conditionalFormatting>
  <conditionalFormatting sqref="D109 D112:D114">
    <cfRule type="duplicateValues" dxfId="36" priority="4"/>
  </conditionalFormatting>
  <conditionalFormatting sqref="D109 D112:D114">
    <cfRule type="duplicateValues" dxfId="35" priority="3"/>
  </conditionalFormatting>
  <conditionalFormatting sqref="D110">
    <cfRule type="duplicateValues" dxfId="34" priority="2"/>
  </conditionalFormatting>
  <conditionalFormatting sqref="D111">
    <cfRule type="duplicateValues" dxfId="33" priority="1"/>
  </conditionalFormatting>
  <hyperlinks>
    <hyperlink ref="J25" r:id="rId1" xr:uid="{00000000-0004-0000-0000-000000000000}"/>
    <hyperlink ref="J23" r:id="rId2" xr:uid="{00000000-0004-0000-0000-000001000000}"/>
    <hyperlink ref="J22" r:id="rId3" xr:uid="{00000000-0004-0000-0000-000002000000}"/>
    <hyperlink ref="J21" r:id="rId4" xr:uid="{00000000-0004-0000-0000-000003000000}"/>
    <hyperlink ref="J24" r:id="rId5" xr:uid="{00000000-0004-0000-0000-000004000000}"/>
    <hyperlink ref="J26" r:id="rId6" xr:uid="{00000000-0004-0000-0000-000005000000}"/>
    <hyperlink ref="J45" r:id="rId7" xr:uid="{00000000-0004-0000-0000-000006000000}"/>
    <hyperlink ref="J30" r:id="rId8" xr:uid="{00000000-0004-0000-0000-000007000000}"/>
    <hyperlink ref="J33" r:id="rId9" xr:uid="{00000000-0004-0000-0000-000008000000}"/>
    <hyperlink ref="J34" r:id="rId10" xr:uid="{00000000-0004-0000-0000-000009000000}"/>
    <hyperlink ref="J35" r:id="rId11" xr:uid="{00000000-0004-0000-0000-00000A000000}"/>
    <hyperlink ref="J28" r:id="rId12" xr:uid="{00000000-0004-0000-0000-00000B000000}"/>
    <hyperlink ref="J29" r:id="rId13" xr:uid="{00000000-0004-0000-0000-00000C000000}"/>
    <hyperlink ref="J39" r:id="rId14" xr:uid="{00000000-0004-0000-0000-00000D000000}"/>
    <hyperlink ref="J40" r:id="rId15" xr:uid="{00000000-0004-0000-0000-00000E000000}"/>
    <hyperlink ref="J41" r:id="rId16" xr:uid="{00000000-0004-0000-0000-00000F000000}"/>
    <hyperlink ref="J42" r:id="rId17" xr:uid="{00000000-0004-0000-0000-000010000000}"/>
    <hyperlink ref="J37" r:id="rId18" xr:uid="{00000000-0004-0000-0000-000011000000}"/>
    <hyperlink ref="J36" r:id="rId19" xr:uid="{00000000-0004-0000-0000-000012000000}"/>
    <hyperlink ref="J43" r:id="rId20" xr:uid="{00000000-0004-0000-0000-000013000000}"/>
    <hyperlink ref="J44" r:id="rId21" xr:uid="{00000000-0004-0000-0000-000014000000}"/>
    <hyperlink ref="J49" r:id="rId22" xr:uid="{00000000-0004-0000-0000-000015000000}"/>
    <hyperlink ref="J48" r:id="rId23" xr:uid="{00000000-0004-0000-0000-000016000000}"/>
    <hyperlink ref="J38" r:id="rId24" xr:uid="{00000000-0004-0000-0000-000017000000}"/>
    <hyperlink ref="J50" r:id="rId25" xr:uid="{00000000-0004-0000-0000-000018000000}"/>
    <hyperlink ref="J52" r:id="rId26" xr:uid="{00000000-0004-0000-0000-000019000000}"/>
    <hyperlink ref="J53" r:id="rId27" xr:uid="{00000000-0004-0000-0000-00001A000000}"/>
    <hyperlink ref="J58" r:id="rId28" xr:uid="{00000000-0004-0000-0000-00001B000000}"/>
    <hyperlink ref="J55" r:id="rId29" xr:uid="{00000000-0004-0000-0000-00001C000000}"/>
    <hyperlink ref="J56" r:id="rId30" xr:uid="{00000000-0004-0000-0000-00001D000000}"/>
    <hyperlink ref="J57" r:id="rId31" xr:uid="{00000000-0004-0000-0000-00001E000000}"/>
    <hyperlink ref="J76" r:id="rId32" xr:uid="{00000000-0004-0000-0000-00001F000000}"/>
    <hyperlink ref="J54" r:id="rId33" xr:uid="{00000000-0004-0000-0000-000020000000}"/>
    <hyperlink ref="J60" r:id="rId34" xr:uid="{00000000-0004-0000-0000-000021000000}"/>
    <hyperlink ref="J46" r:id="rId35" xr:uid="{00000000-0004-0000-0000-000022000000}"/>
    <hyperlink ref="J62" r:id="rId36" xr:uid="{00000000-0004-0000-0000-000023000000}"/>
    <hyperlink ref="J63" r:id="rId37" xr:uid="{00000000-0004-0000-0000-000024000000}"/>
    <hyperlink ref="J64" r:id="rId38" xr:uid="{00000000-0004-0000-0000-000025000000}"/>
    <hyperlink ref="J65" r:id="rId39" xr:uid="{00000000-0004-0000-0000-000026000000}"/>
    <hyperlink ref="J66" r:id="rId40" xr:uid="{00000000-0004-0000-0000-000027000000}"/>
    <hyperlink ref="J47" r:id="rId41" xr:uid="{00000000-0004-0000-0000-000028000000}"/>
    <hyperlink ref="J71" r:id="rId42" xr:uid="{00000000-0004-0000-0000-000029000000}"/>
    <hyperlink ref="J69" r:id="rId43" xr:uid="{00000000-0004-0000-0000-00002A000000}"/>
    <hyperlink ref="J70" r:id="rId44" xr:uid="{00000000-0004-0000-0000-00002B000000}"/>
    <hyperlink ref="J68" r:id="rId45" xr:uid="{00000000-0004-0000-0000-00002C000000}"/>
    <hyperlink ref="J72" r:id="rId46" xr:uid="{00000000-0004-0000-0000-00002D000000}"/>
    <hyperlink ref="J73" r:id="rId47" xr:uid="{00000000-0004-0000-0000-00002E000000}"/>
    <hyperlink ref="J74" r:id="rId48" xr:uid="{00000000-0004-0000-0000-00002F000000}"/>
    <hyperlink ref="J75" r:id="rId49" xr:uid="{00000000-0004-0000-0000-000030000000}"/>
    <hyperlink ref="J83" r:id="rId50" xr:uid="{00000000-0004-0000-0000-000031000000}"/>
    <hyperlink ref="J77" r:id="rId51" xr:uid="{00000000-0004-0000-0000-000032000000}"/>
    <hyperlink ref="J78" r:id="rId52" xr:uid="{00000000-0004-0000-0000-000033000000}"/>
    <hyperlink ref="J79" r:id="rId53" xr:uid="{00000000-0004-0000-0000-000034000000}"/>
    <hyperlink ref="J80" r:id="rId54" xr:uid="{00000000-0004-0000-0000-000035000000}"/>
    <hyperlink ref="J81" r:id="rId55" xr:uid="{00000000-0004-0000-0000-000036000000}"/>
    <hyperlink ref="J82" r:id="rId56" xr:uid="{00000000-0004-0000-0000-000037000000}"/>
    <hyperlink ref="J59" r:id="rId57" xr:uid="{00000000-0004-0000-0000-000038000000}"/>
    <hyperlink ref="J84" r:id="rId58" xr:uid="{00000000-0004-0000-0000-000039000000}"/>
    <hyperlink ref="J85" r:id="rId59" xr:uid="{00000000-0004-0000-0000-00003A000000}"/>
    <hyperlink ref="J86" r:id="rId60" xr:uid="{00000000-0004-0000-0000-00003B000000}"/>
    <hyperlink ref="J87" r:id="rId61" xr:uid="{00000000-0004-0000-0000-00003C000000}"/>
    <hyperlink ref="J88" r:id="rId62" xr:uid="{00000000-0004-0000-0000-00003D000000}"/>
    <hyperlink ref="J89" r:id="rId63" xr:uid="{00000000-0004-0000-0000-00003E000000}"/>
    <hyperlink ref="J90" r:id="rId64" xr:uid="{00000000-0004-0000-0000-00003F000000}"/>
    <hyperlink ref="J91" r:id="rId65" xr:uid="{00000000-0004-0000-0000-000040000000}"/>
    <hyperlink ref="J92" r:id="rId66" xr:uid="{00000000-0004-0000-0000-000041000000}"/>
    <hyperlink ref="J93" r:id="rId67" xr:uid="{00000000-0004-0000-0000-000042000000}"/>
    <hyperlink ref="J94" r:id="rId68" xr:uid="{00000000-0004-0000-0000-000043000000}"/>
    <hyperlink ref="J31" r:id="rId69" xr:uid="{00000000-0004-0000-0000-000044000000}"/>
    <hyperlink ref="J95" r:id="rId70" xr:uid="{00000000-0004-0000-0000-000045000000}"/>
    <hyperlink ref="J96" r:id="rId71" xr:uid="{00000000-0004-0000-0000-000046000000}"/>
    <hyperlink ref="J97" r:id="rId72" xr:uid="{00000000-0004-0000-0000-000047000000}"/>
    <hyperlink ref="J98" r:id="rId73" xr:uid="{00000000-0004-0000-0000-000048000000}"/>
    <hyperlink ref="J99" r:id="rId74" xr:uid="{00000000-0004-0000-0000-000049000000}"/>
    <hyperlink ref="J100" r:id="rId75" xr:uid="{00000000-0004-0000-0000-00004A000000}"/>
    <hyperlink ref="J101" r:id="rId76" xr:uid="{00000000-0004-0000-0000-00004B000000}"/>
    <hyperlink ref="J102" r:id="rId77" xr:uid="{00000000-0004-0000-0000-00004C000000}"/>
    <hyperlink ref="J103" r:id="rId78" xr:uid="{00000000-0004-0000-0000-00004D000000}"/>
    <hyperlink ref="J104" r:id="rId79" xr:uid="{C89CAF86-FBA8-4B4C-81C6-1B321EB82083}"/>
    <hyperlink ref="J105" r:id="rId80" xr:uid="{2CB642D5-7F7C-4980-981F-025FDED17A4F}"/>
    <hyperlink ref="J106" r:id="rId81" xr:uid="{0CE63D39-3E29-417B-9347-102C62D78799}"/>
    <hyperlink ref="J107" r:id="rId82" xr:uid="{BDDD0819-CE81-4C46-A4C2-335C55961DC0}"/>
    <hyperlink ref="J108" r:id="rId83" xr:uid="{2E5CFC52-54D5-467A-BFB6-E17DEF0DB2E5}"/>
    <hyperlink ref="J109" r:id="rId84" xr:uid="{41635322-C931-43FE-B350-74F6E0BC6F00}"/>
    <hyperlink ref="J110" r:id="rId85" xr:uid="{568EA1D9-5BB3-48BD-A03E-70F147B83519}"/>
    <hyperlink ref="J111" r:id="rId86" xr:uid="{441441F1-ED5F-43DB-BABB-65B21027F2C8}"/>
  </hyperlinks>
  <pageMargins left="0.7" right="0.7" top="0.75" bottom="0.75" header="0.3" footer="0.3"/>
  <pageSetup orientation="portrait" verticalDpi="0" r:id="rId87"/>
  <legacyDrawing r:id="rId8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52080-7981-499A-B340-121CCEAEDAE8}">
  <sheetPr codeName="Hoja2"/>
  <dimension ref="A1:K105"/>
  <sheetViews>
    <sheetView topLeftCell="B1" zoomScaleNormal="100" workbookViewId="0">
      <selection activeCell="K1" sqref="K1:K9"/>
    </sheetView>
  </sheetViews>
  <sheetFormatPr baseColWidth="10" defaultRowHeight="15" x14ac:dyDescent="0.25"/>
  <cols>
    <col min="1" max="1" width="42.28515625" bestFit="1" customWidth="1"/>
    <col min="2" max="2" width="17.7109375" bestFit="1" customWidth="1"/>
    <col min="3" max="4" width="21.42578125" bestFit="1" customWidth="1"/>
    <col min="5" max="5" width="57.42578125" bestFit="1" customWidth="1"/>
    <col min="6" max="6" width="38.42578125" bestFit="1" customWidth="1"/>
    <col min="7" max="7" width="13.5703125" bestFit="1" customWidth="1"/>
    <col min="8" max="8" width="18.140625" bestFit="1" customWidth="1"/>
    <col min="9" max="9" width="22.85546875" bestFit="1" customWidth="1"/>
  </cols>
  <sheetData>
    <row r="1" spans="1:11" x14ac:dyDescent="0.25">
      <c r="A1" t="s">
        <v>46</v>
      </c>
      <c r="B1" t="s">
        <v>47</v>
      </c>
      <c r="C1" t="s">
        <v>63</v>
      </c>
      <c r="D1" t="s">
        <v>49</v>
      </c>
      <c r="E1" t="s">
        <v>67</v>
      </c>
      <c r="F1" t="s">
        <v>64</v>
      </c>
      <c r="G1" t="s">
        <v>65</v>
      </c>
      <c r="H1" t="s">
        <v>50</v>
      </c>
      <c r="I1" t="s">
        <v>51</v>
      </c>
      <c r="K1" s="138" t="s">
        <v>46</v>
      </c>
    </row>
    <row r="2" spans="1:11" x14ac:dyDescent="0.25">
      <c r="A2" t="str">
        <f>+_xlfn.XLOOKUP(Clientes[[#This Row],[IDENTIFICACIÓN]],PRÉSTAMOS!$B:$B,PRÉSTAMOS!A:A)</f>
        <v>DARÍO MANZANO VALENCIA</v>
      </c>
      <c r="B2">
        <v>10059740</v>
      </c>
      <c r="C2" t="str">
        <f>+IF(_xlfn.XLOOKUP(Clientes[[#This Row],[IDENTIFICACIÓN]],PRÉSTAMOS!$B:$B,PRÉSTAMOS!C:C,"")=0,"",_xlfn.XLOOKUP(Clientes[[#This Row],[IDENTIFICACIÓN]],PRÉSTAMOS!$B:$B,PRÉSTAMOS!C:C,""))</f>
        <v/>
      </c>
      <c r="D2" t="str">
        <f>+IF(_xlfn.XLOOKUP(Clientes[[#This Row],[IDENTIFICACIÓN]],PRÉSTAMOS!$B:$B,PRÉSTAMOS!E:E,"")=0,"",_xlfn.XLOOKUP(Clientes[[#This Row],[IDENTIFICACIÓN]],PRÉSTAMOS!$B:$B,PRÉSTAMOS!E:E,""))</f>
        <v>Finca La Una, Altagracia - Pereira</v>
      </c>
      <c r="E2" t="str">
        <f>+IF(_xlfn.XLOOKUP(Clientes[[#This Row],[IDENTIFICACIÓN]],PRÉSTAMOS!$B:$B,PRÉSTAMOS!F:F,"")=0,"",_xlfn.XLOOKUP(Clientes[[#This Row],[IDENTIFICACIÓN]],PRÉSTAMOS!$B:$B,PRÉSTAMOS!F:F,""))</f>
        <v/>
      </c>
      <c r="F2" t="str">
        <f>+IF(_xlfn.XLOOKUP(Clientes[[#This Row],[IDENTIFICACIÓN]],PRÉSTAMOS!$B:$B,PRÉSTAMOS!G:G,"")=0,"",_xlfn.XLOOKUP(Clientes[[#This Row],[IDENTIFICACIÓN]],PRÉSTAMOS!$B:$B,PRÉSTAMOS!G:G,""))</f>
        <v/>
      </c>
      <c r="G2" t="str">
        <f>+IF(_xlfn.XLOOKUP(Clientes[[#This Row],[IDENTIFICACIÓN]],PRÉSTAMOS!$B:$B,PRÉSTAMOS!H:H,"")=0,"",_xlfn.XLOOKUP(Clientes[[#This Row],[IDENTIFICACIÓN]],PRÉSTAMOS!$B:$B,PRÉSTAMOS!H:H,""))</f>
        <v/>
      </c>
      <c r="H2">
        <f>+IF(_xlfn.XLOOKUP(Clientes[[#This Row],[IDENTIFICACIÓN]],PRÉSTAMOS!$B:$B,PRÉSTAMOS!I:I,"")=0,"",_xlfn.XLOOKUP(Clientes[[#This Row],[IDENTIFICACIÓN]],PRÉSTAMOS!$B:$B,PRÉSTAMOS!I:I,""))</f>
        <v>3122515023</v>
      </c>
      <c r="I2" t="str">
        <f>+IF(_xlfn.XLOOKUP(Clientes[[#This Row],[IDENTIFICACIÓN]],PRÉSTAMOS!$B:$B,PRÉSTAMOS!J:J,"")=0,"",_xlfn.XLOOKUP(Clientes[[#This Row],[IDENTIFICACIÓN]],PRÉSTAMOS!$B:$B,PRÉSTAMOS!J:J,""))</f>
        <v/>
      </c>
      <c r="K2" s="139" t="s">
        <v>47</v>
      </c>
    </row>
    <row r="3" spans="1:11" x14ac:dyDescent="0.25">
      <c r="A3" t="str">
        <f>+_xlfn.XLOOKUP(Clientes[[#This Row],[IDENTIFICACIÓN]],PRÉSTAMOS!$B:$B,PRÉSTAMOS!A:A)</f>
        <v>FLOWER ANTONIO HURTADO ECHEVERRI</v>
      </c>
      <c r="B3">
        <v>10084648</v>
      </c>
      <c r="C3" t="str">
        <f>+IF(_xlfn.XLOOKUP(Clientes[[#This Row],[IDENTIFICACIÓN]],PRÉSTAMOS!$B:$B,PRÉSTAMOS!C:C,"")=0,"",_xlfn.XLOOKUP(Clientes[[#This Row],[IDENTIFICACIÓN]],PRÉSTAMOS!$B:$B,PRÉSTAMOS!C:C,""))</f>
        <v/>
      </c>
      <c r="D3" t="str">
        <f>+IF(_xlfn.XLOOKUP(Clientes[[#This Row],[IDENTIFICACIÓN]],PRÉSTAMOS!$B:$B,PRÉSTAMOS!E:E,"")=0,"",_xlfn.XLOOKUP(Clientes[[#This Row],[IDENTIFICACIÓN]],PRÉSTAMOS!$B:$B,PRÉSTAMOS!E:E,""))</f>
        <v>B/El Modelo Cra. 19 # 19A- 49 - Dosquebradas</v>
      </c>
      <c r="E3" t="str">
        <f>+IF(_xlfn.XLOOKUP(Clientes[[#This Row],[IDENTIFICACIÓN]],PRÉSTAMOS!$B:$B,PRÉSTAMOS!F:F,"")=0,"",_xlfn.XLOOKUP(Clientes[[#This Row],[IDENTIFICACIÓN]],PRÉSTAMOS!$B:$B,PRÉSTAMOS!F:F,""))</f>
        <v/>
      </c>
      <c r="F3" t="str">
        <f>+IF(_xlfn.XLOOKUP(Clientes[[#This Row],[IDENTIFICACIÓN]],PRÉSTAMOS!$B:$B,PRÉSTAMOS!G:G,"")=0,"",_xlfn.XLOOKUP(Clientes[[#This Row],[IDENTIFICACIÓN]],PRÉSTAMOS!$B:$B,PRÉSTAMOS!G:G,""))</f>
        <v/>
      </c>
      <c r="G3" t="str">
        <f>+IF(_xlfn.XLOOKUP(Clientes[[#This Row],[IDENTIFICACIÓN]],PRÉSTAMOS!$B:$B,PRÉSTAMOS!H:H,"")=0,"",_xlfn.XLOOKUP(Clientes[[#This Row],[IDENTIFICACIÓN]],PRÉSTAMOS!$B:$B,PRÉSTAMOS!H:H,""))</f>
        <v/>
      </c>
      <c r="H3">
        <f>+IF(_xlfn.XLOOKUP(Clientes[[#This Row],[IDENTIFICACIÓN]],PRÉSTAMOS!$B:$B,PRÉSTAMOS!I:I,"")=0,"",_xlfn.XLOOKUP(Clientes[[#This Row],[IDENTIFICACIÓN]],PRÉSTAMOS!$B:$B,PRÉSTAMOS!I:I,""))</f>
        <v>3217266221</v>
      </c>
      <c r="I3" t="str">
        <f>+IF(_xlfn.XLOOKUP(Clientes[[#This Row],[IDENTIFICACIÓN]],PRÉSTAMOS!$B:$B,PRÉSTAMOS!J:J,"")=0,"",_xlfn.XLOOKUP(Clientes[[#This Row],[IDENTIFICACIÓN]],PRÉSTAMOS!$B:$B,PRÉSTAMOS!J:J,""))</f>
        <v/>
      </c>
      <c r="K3" s="139" t="s">
        <v>63</v>
      </c>
    </row>
    <row r="4" spans="1:11" x14ac:dyDescent="0.25">
      <c r="A4" t="str">
        <f>+_xlfn.XLOOKUP(Clientes[[#This Row],[IDENTIFICACIÓN]],PRÉSTAMOS!$B:$B,PRÉSTAMOS!A:A)</f>
        <v>MAURICIO MORALES VALENCIA</v>
      </c>
      <c r="B4">
        <v>18514280</v>
      </c>
      <c r="C4" t="str">
        <f>+IF(_xlfn.XLOOKUP(Clientes[[#This Row],[IDENTIFICACIÓN]],PRÉSTAMOS!$B:$B,PRÉSTAMOS!C:C,"")=0,"",_xlfn.XLOOKUP(Clientes[[#This Row],[IDENTIFICACIÓN]],PRÉSTAMOS!$B:$B,PRÉSTAMOS!C:C,""))</f>
        <v/>
      </c>
      <c r="D4" t="str">
        <f>+IF(_xlfn.XLOOKUP(Clientes[[#This Row],[IDENTIFICACIÓN]],PRÉSTAMOS!$B:$B,PRÉSTAMOS!E:E,"")=0,"",_xlfn.XLOOKUP(Clientes[[#This Row],[IDENTIFICACIÓN]],PRÉSTAMOS!$B:$B,PRÉSTAMOS!E:E,""))</f>
        <v>Carrera 21 Bis # 6-80 B/El Japón - Dosquebradas</v>
      </c>
      <c r="E4" t="str">
        <f>+IF(_xlfn.XLOOKUP(Clientes[[#This Row],[IDENTIFICACIÓN]],PRÉSTAMOS!$B:$B,PRÉSTAMOS!F:F,"")=0,"",_xlfn.XLOOKUP(Clientes[[#This Row],[IDENTIFICACIÓN]],PRÉSTAMOS!$B:$B,PRÉSTAMOS!F:F,""))</f>
        <v/>
      </c>
      <c r="F4" t="str">
        <f>+IF(_xlfn.XLOOKUP(Clientes[[#This Row],[IDENTIFICACIÓN]],PRÉSTAMOS!$B:$B,PRÉSTAMOS!G:G,"")=0,"",_xlfn.XLOOKUP(Clientes[[#This Row],[IDENTIFICACIÓN]],PRÉSTAMOS!$B:$B,PRÉSTAMOS!G:G,""))</f>
        <v/>
      </c>
      <c r="G4" t="str">
        <f>+IF(_xlfn.XLOOKUP(Clientes[[#This Row],[IDENTIFICACIÓN]],PRÉSTAMOS!$B:$B,PRÉSTAMOS!H:H,"")=0,"",_xlfn.XLOOKUP(Clientes[[#This Row],[IDENTIFICACIÓN]],PRÉSTAMOS!$B:$B,PRÉSTAMOS!H:H,""))</f>
        <v/>
      </c>
      <c r="H4">
        <f>+IF(_xlfn.XLOOKUP(Clientes[[#This Row],[IDENTIFICACIÓN]],PRÉSTAMOS!$B:$B,PRÉSTAMOS!I:I,"")=0,"",_xlfn.XLOOKUP(Clientes[[#This Row],[IDENTIFICACIÓN]],PRÉSTAMOS!$B:$B,PRÉSTAMOS!I:I,""))</f>
        <v>3205870266</v>
      </c>
      <c r="I4" t="str">
        <f>+IF(_xlfn.XLOOKUP(Clientes[[#This Row],[IDENTIFICACIÓN]],PRÉSTAMOS!$B:$B,PRÉSTAMOS!J:J,"")=0,"",_xlfn.XLOOKUP(Clientes[[#This Row],[IDENTIFICACIÓN]],PRÉSTAMOS!$B:$B,PRÉSTAMOS!J:J,""))</f>
        <v/>
      </c>
      <c r="K4" s="139" t="s">
        <v>49</v>
      </c>
    </row>
    <row r="5" spans="1:11" x14ac:dyDescent="0.25">
      <c r="A5" t="str">
        <f>+_xlfn.XLOOKUP(Clientes[[#This Row],[IDENTIFICACIÓN]],PRÉSTAMOS!$B:$B,PRÉSTAMOS!A:A)</f>
        <v>ÓSCAR FERNANDO CASTAÑEDA CARDONA</v>
      </c>
      <c r="B5">
        <v>94229441</v>
      </c>
      <c r="C5" t="str">
        <f>+IF(_xlfn.XLOOKUP(Clientes[[#This Row],[IDENTIFICACIÓN]],PRÉSTAMOS!$B:$B,PRÉSTAMOS!C:C,"")=0,"",_xlfn.XLOOKUP(Clientes[[#This Row],[IDENTIFICACIÓN]],PRÉSTAMOS!$B:$B,PRÉSTAMOS!C:C,""))</f>
        <v/>
      </c>
      <c r="D5" t="str">
        <f>+IF(_xlfn.XLOOKUP(Clientes[[#This Row],[IDENTIFICACIÓN]],PRÉSTAMOS!$B:$B,PRÉSTAMOS!E:E,"")=0,"",_xlfn.XLOOKUP(Clientes[[#This Row],[IDENTIFICACIÓN]],PRÉSTAMOS!$B:$B,PRÉSTAMOS!E:E,""))</f>
        <v>Calle 13 # 16-23 B/La Isabelita - Zarzal</v>
      </c>
      <c r="E5" t="str">
        <f>+IF(_xlfn.XLOOKUP(Clientes[[#This Row],[IDENTIFICACIÓN]],PRÉSTAMOS!$B:$B,PRÉSTAMOS!F:F,"")=0,"",_xlfn.XLOOKUP(Clientes[[#This Row],[IDENTIFICACIÓN]],PRÉSTAMOS!$B:$B,PRÉSTAMOS!F:F,""))</f>
        <v/>
      </c>
      <c r="F5" t="str">
        <f>+IF(_xlfn.XLOOKUP(Clientes[[#This Row],[IDENTIFICACIÓN]],PRÉSTAMOS!$B:$B,PRÉSTAMOS!G:G,"")=0,"",_xlfn.XLOOKUP(Clientes[[#This Row],[IDENTIFICACIÓN]],PRÉSTAMOS!$B:$B,PRÉSTAMOS!G:G,""))</f>
        <v/>
      </c>
      <c r="G5" t="str">
        <f>+IF(_xlfn.XLOOKUP(Clientes[[#This Row],[IDENTIFICACIÓN]],PRÉSTAMOS!$B:$B,PRÉSTAMOS!H:H,"")=0,"",_xlfn.XLOOKUP(Clientes[[#This Row],[IDENTIFICACIÓN]],PRÉSTAMOS!$B:$B,PRÉSTAMOS!H:H,""))</f>
        <v/>
      </c>
      <c r="H5">
        <f>+IF(_xlfn.XLOOKUP(Clientes[[#This Row],[IDENTIFICACIÓN]],PRÉSTAMOS!$B:$B,PRÉSTAMOS!I:I,"")=0,"",_xlfn.XLOOKUP(Clientes[[#This Row],[IDENTIFICACIÓN]],PRÉSTAMOS!$B:$B,PRÉSTAMOS!I:I,""))</f>
        <v>3185376934</v>
      </c>
      <c r="I5" t="str">
        <f>+IF(_xlfn.XLOOKUP(Clientes[[#This Row],[IDENTIFICACIÓN]],PRÉSTAMOS!$B:$B,PRÉSTAMOS!J:J,"")=0,"",_xlfn.XLOOKUP(Clientes[[#This Row],[IDENTIFICACIÓN]],PRÉSTAMOS!$B:$B,PRÉSTAMOS!J:J,""))</f>
        <v/>
      </c>
      <c r="K5" s="139" t="s">
        <v>67</v>
      </c>
    </row>
    <row r="6" spans="1:11" x14ac:dyDescent="0.25">
      <c r="A6" t="str">
        <f>+_xlfn.XLOOKUP(Clientes[[#This Row],[IDENTIFICACIÓN]],PRÉSTAMOS!$B:$B,PRÉSTAMOS!A:A)</f>
        <v>SILVIO MARTÍNEZ CARDONA</v>
      </c>
      <c r="B6">
        <v>4477806</v>
      </c>
      <c r="C6" t="str">
        <f>+IF(_xlfn.XLOOKUP(Clientes[[#This Row],[IDENTIFICACIÓN]],PRÉSTAMOS!$B:$B,PRÉSTAMOS!C:C,"")=0,"",_xlfn.XLOOKUP(Clientes[[#This Row],[IDENTIFICACIÓN]],PRÉSTAMOS!$B:$B,PRÉSTAMOS!C:C,""))</f>
        <v/>
      </c>
      <c r="D6" t="str">
        <f>+IF(_xlfn.XLOOKUP(Clientes[[#This Row],[IDENTIFICACIÓN]],PRÉSTAMOS!$B:$B,PRÉSTAMOS!E:E,"")=0,"",_xlfn.XLOOKUP(Clientes[[#This Row],[IDENTIFICACIÓN]],PRÉSTAMOS!$B:$B,PRÉSTAMOS!E:E,""))</f>
        <v>Calle 8 # 5-53 B/Santa Cecilia - La Paila</v>
      </c>
      <c r="E6" t="str">
        <f>+IF(_xlfn.XLOOKUP(Clientes[[#This Row],[IDENTIFICACIÓN]],PRÉSTAMOS!$B:$B,PRÉSTAMOS!F:F,"")=0,"",_xlfn.XLOOKUP(Clientes[[#This Row],[IDENTIFICACIÓN]],PRÉSTAMOS!$B:$B,PRÉSTAMOS!F:F,""))</f>
        <v/>
      </c>
      <c r="F6" t="str">
        <f>+IF(_xlfn.XLOOKUP(Clientes[[#This Row],[IDENTIFICACIÓN]],PRÉSTAMOS!$B:$B,PRÉSTAMOS!G:G,"")=0,"",_xlfn.XLOOKUP(Clientes[[#This Row],[IDENTIFICACIÓN]],PRÉSTAMOS!$B:$B,PRÉSTAMOS!G:G,""))</f>
        <v/>
      </c>
      <c r="G6" t="str">
        <f>+IF(_xlfn.XLOOKUP(Clientes[[#This Row],[IDENTIFICACIÓN]],PRÉSTAMOS!$B:$B,PRÉSTAMOS!H:H,"")=0,"",_xlfn.XLOOKUP(Clientes[[#This Row],[IDENTIFICACIÓN]],PRÉSTAMOS!$B:$B,PRÉSTAMOS!H:H,""))</f>
        <v/>
      </c>
      <c r="H6" t="str">
        <f>+IF(_xlfn.XLOOKUP(Clientes[[#This Row],[IDENTIFICACIÓN]],PRÉSTAMOS!$B:$B,PRÉSTAMOS!I:I,"")=0,"",_xlfn.XLOOKUP(Clientes[[#This Row],[IDENTIFICACIÓN]],PRÉSTAMOS!$B:$B,PRÉSTAMOS!I:I,""))</f>
        <v>3145459102 - 3113820977</v>
      </c>
      <c r="I6" t="str">
        <f>+IF(_xlfn.XLOOKUP(Clientes[[#This Row],[IDENTIFICACIÓN]],PRÉSTAMOS!$B:$B,PRÉSTAMOS!J:J,"")=0,"",_xlfn.XLOOKUP(Clientes[[#This Row],[IDENTIFICACIÓN]],PRÉSTAMOS!$B:$B,PRÉSTAMOS!J:J,""))</f>
        <v/>
      </c>
      <c r="K6" s="139" t="s">
        <v>64</v>
      </c>
    </row>
    <row r="7" spans="1:11" x14ac:dyDescent="0.25">
      <c r="A7" t="str">
        <f>+_xlfn.XLOOKUP(Clientes[[#This Row],[IDENTIFICACIÓN]],PRÉSTAMOS!$B:$B,PRÉSTAMOS!A:A)</f>
        <v>CARLOS TULIO AMARILES RUIZ</v>
      </c>
      <c r="B7">
        <v>16204430</v>
      </c>
      <c r="C7" t="str">
        <f>+IF(_xlfn.XLOOKUP(Clientes[[#This Row],[IDENTIFICACIÓN]],PRÉSTAMOS!$B:$B,PRÉSTAMOS!C:C,"")=0,"",_xlfn.XLOOKUP(Clientes[[#This Row],[IDENTIFICACIÓN]],PRÉSTAMOS!$B:$B,PRÉSTAMOS!C:C,""))</f>
        <v/>
      </c>
      <c r="D7" t="str">
        <f>+IF(_xlfn.XLOOKUP(Clientes[[#This Row],[IDENTIFICACIÓN]],PRÉSTAMOS!$B:$B,PRÉSTAMOS!E:E,"")=0,"",_xlfn.XLOOKUP(Clientes[[#This Row],[IDENTIFICACIÓN]],PRÉSTAMOS!$B:$B,PRÉSTAMOS!E:E,""))</f>
        <v>Calle 20 # 44-51 B/Frailes - Dosquebradas</v>
      </c>
      <c r="E7" t="str">
        <f>+IF(_xlfn.XLOOKUP(Clientes[[#This Row],[IDENTIFICACIÓN]],PRÉSTAMOS!$B:$B,PRÉSTAMOS!F:F,"")=0,"",_xlfn.XLOOKUP(Clientes[[#This Row],[IDENTIFICACIÓN]],PRÉSTAMOS!$B:$B,PRÉSTAMOS!F:F,""))</f>
        <v/>
      </c>
      <c r="F7" t="str">
        <f>+IF(_xlfn.XLOOKUP(Clientes[[#This Row],[IDENTIFICACIÓN]],PRÉSTAMOS!$B:$B,PRÉSTAMOS!G:G,"")=0,"",_xlfn.XLOOKUP(Clientes[[#This Row],[IDENTIFICACIÓN]],PRÉSTAMOS!$B:$B,PRÉSTAMOS!G:G,""))</f>
        <v/>
      </c>
      <c r="G7" t="str">
        <f>+IF(_xlfn.XLOOKUP(Clientes[[#This Row],[IDENTIFICACIÓN]],PRÉSTAMOS!$B:$B,PRÉSTAMOS!H:H,"")=0,"",_xlfn.XLOOKUP(Clientes[[#This Row],[IDENTIFICACIÓN]],PRÉSTAMOS!$B:$B,PRÉSTAMOS!H:H,""))</f>
        <v/>
      </c>
      <c r="H7">
        <f>+IF(_xlfn.XLOOKUP(Clientes[[#This Row],[IDENTIFICACIÓN]],PRÉSTAMOS!$B:$B,PRÉSTAMOS!I:I,"")=0,"",_xlfn.XLOOKUP(Clientes[[#This Row],[IDENTIFICACIÓN]],PRÉSTAMOS!$B:$B,PRÉSTAMOS!I:I,""))</f>
        <v>3128509307</v>
      </c>
      <c r="I7" t="str">
        <f>+IF(_xlfn.XLOOKUP(Clientes[[#This Row],[IDENTIFICACIÓN]],PRÉSTAMOS!$B:$B,PRÉSTAMOS!J:J,"")=0,"",_xlfn.XLOOKUP(Clientes[[#This Row],[IDENTIFICACIÓN]],PRÉSTAMOS!$B:$B,PRÉSTAMOS!J:J,""))</f>
        <v/>
      </c>
      <c r="K7" s="139" t="s">
        <v>65</v>
      </c>
    </row>
    <row r="8" spans="1:11" x14ac:dyDescent="0.25">
      <c r="A8" t="str">
        <f>+_xlfn.XLOOKUP(Clientes[[#This Row],[IDENTIFICACIÓN]],PRÉSTAMOS!$B:$B,PRÉSTAMOS!A:A)</f>
        <v>LUZ EDDY GARCÍA GUTIÉRREZ</v>
      </c>
      <c r="B8">
        <v>24602460</v>
      </c>
      <c r="C8" t="str">
        <f>+IF(_xlfn.XLOOKUP(Clientes[[#This Row],[IDENTIFICACIÓN]],PRÉSTAMOS!$B:$B,PRÉSTAMOS!C:C,"")=0,"",_xlfn.XLOOKUP(Clientes[[#This Row],[IDENTIFICACIÓN]],PRÉSTAMOS!$B:$B,PRÉSTAMOS!C:C,""))</f>
        <v/>
      </c>
      <c r="D8" t="str">
        <f>+IF(_xlfn.XLOOKUP(Clientes[[#This Row],[IDENTIFICACIÓN]],PRÉSTAMOS!$B:$B,PRÉSTAMOS!E:E,"")=0,"",_xlfn.XLOOKUP(Clientes[[#This Row],[IDENTIFICACIÓN]],PRÉSTAMOS!$B:$B,PRÉSTAMOS!E:E,""))</f>
        <v>B/El Paraiso Mz. A Casa 200 - Armenia</v>
      </c>
      <c r="E8" t="str">
        <f>+IF(_xlfn.XLOOKUP(Clientes[[#This Row],[IDENTIFICACIÓN]],PRÉSTAMOS!$B:$B,PRÉSTAMOS!F:F,"")=0,"",_xlfn.XLOOKUP(Clientes[[#This Row],[IDENTIFICACIÓN]],PRÉSTAMOS!$B:$B,PRÉSTAMOS!F:F,""))</f>
        <v/>
      </c>
      <c r="F8" t="str">
        <f>+IF(_xlfn.XLOOKUP(Clientes[[#This Row],[IDENTIFICACIÓN]],PRÉSTAMOS!$B:$B,PRÉSTAMOS!G:G,"")=0,"",_xlfn.XLOOKUP(Clientes[[#This Row],[IDENTIFICACIÓN]],PRÉSTAMOS!$B:$B,PRÉSTAMOS!G:G,""))</f>
        <v/>
      </c>
      <c r="G8" t="str">
        <f>+IF(_xlfn.XLOOKUP(Clientes[[#This Row],[IDENTIFICACIÓN]],PRÉSTAMOS!$B:$B,PRÉSTAMOS!H:H,"")=0,"",_xlfn.XLOOKUP(Clientes[[#This Row],[IDENTIFICACIÓN]],PRÉSTAMOS!$B:$B,PRÉSTAMOS!H:H,""))</f>
        <v/>
      </c>
      <c r="H8">
        <f>+IF(_xlfn.XLOOKUP(Clientes[[#This Row],[IDENTIFICACIÓN]],PRÉSTAMOS!$B:$B,PRÉSTAMOS!I:I,"")=0,"",_xlfn.XLOOKUP(Clientes[[#This Row],[IDENTIFICACIÓN]],PRÉSTAMOS!$B:$B,PRÉSTAMOS!I:I,""))</f>
        <v>3145867385</v>
      </c>
      <c r="I8" t="str">
        <f>+IF(_xlfn.XLOOKUP(Clientes[[#This Row],[IDENTIFICACIÓN]],PRÉSTAMOS!$B:$B,PRÉSTAMOS!J:J,"")=0,"",_xlfn.XLOOKUP(Clientes[[#This Row],[IDENTIFICACIÓN]],PRÉSTAMOS!$B:$B,PRÉSTAMOS!J:J,""))</f>
        <v/>
      </c>
      <c r="K8" s="139" t="s">
        <v>50</v>
      </c>
    </row>
    <row r="9" spans="1:11" x14ac:dyDescent="0.25">
      <c r="A9" t="str">
        <f>+_xlfn.XLOOKUP(Clientes[[#This Row],[IDENTIFICACIÓN]],PRÉSTAMOS!$B:$B,PRÉSTAMOS!A:A)</f>
        <v>CARLOS GERARDO GARCÍA JIMÉNEZ</v>
      </c>
      <c r="B9">
        <v>16474512</v>
      </c>
      <c r="C9" t="str">
        <f>+IF(_xlfn.XLOOKUP(Clientes[[#This Row],[IDENTIFICACIÓN]],PRÉSTAMOS!$B:$B,PRÉSTAMOS!C:C,"")=0,"",_xlfn.XLOOKUP(Clientes[[#This Row],[IDENTIFICACIÓN]],PRÉSTAMOS!$B:$B,PRÉSTAMOS!C:C,""))</f>
        <v/>
      </c>
      <c r="D9" t="str">
        <f>+IF(_xlfn.XLOOKUP(Clientes[[#This Row],[IDENTIFICACIÓN]],PRÉSTAMOS!$B:$B,PRÉSTAMOS!E:E,"")=0,"",_xlfn.XLOOKUP(Clientes[[#This Row],[IDENTIFICACIÓN]],PRÉSTAMOS!$B:$B,PRÉSTAMOS!E:E,""))</f>
        <v>Carrera 36 # 84B-30 Savannah aptos. Torre 2 apt. 609 - Pereira</v>
      </c>
      <c r="E9" t="str">
        <f>+IF(_xlfn.XLOOKUP(Clientes[[#This Row],[IDENTIFICACIÓN]],PRÉSTAMOS!$B:$B,PRÉSTAMOS!F:F,"")=0,"",_xlfn.XLOOKUP(Clientes[[#This Row],[IDENTIFICACIÓN]],PRÉSTAMOS!$B:$B,PRÉSTAMOS!F:F,""))</f>
        <v/>
      </c>
      <c r="F9" t="str">
        <f>+IF(_xlfn.XLOOKUP(Clientes[[#This Row],[IDENTIFICACIÓN]],PRÉSTAMOS!$B:$B,PRÉSTAMOS!G:G,"")=0,"",_xlfn.XLOOKUP(Clientes[[#This Row],[IDENTIFICACIÓN]],PRÉSTAMOS!$B:$B,PRÉSTAMOS!G:G,""))</f>
        <v/>
      </c>
      <c r="G9" t="str">
        <f>+IF(_xlfn.XLOOKUP(Clientes[[#This Row],[IDENTIFICACIÓN]],PRÉSTAMOS!$B:$B,PRÉSTAMOS!H:H,"")=0,"",_xlfn.XLOOKUP(Clientes[[#This Row],[IDENTIFICACIÓN]],PRÉSTAMOS!$B:$B,PRÉSTAMOS!H:H,""))</f>
        <v/>
      </c>
      <c r="H9">
        <f>+IF(_xlfn.XLOOKUP(Clientes[[#This Row],[IDENTIFICACIÓN]],PRÉSTAMOS!$B:$B,PRÉSTAMOS!I:I,"")=0,"",_xlfn.XLOOKUP(Clientes[[#This Row],[IDENTIFICACIÓN]],PRÉSTAMOS!$B:$B,PRÉSTAMOS!I:I,""))</f>
        <v>3006547881</v>
      </c>
      <c r="I9" t="str">
        <f>+IF(_xlfn.XLOOKUP(Clientes[[#This Row],[IDENTIFICACIÓN]],PRÉSTAMOS!$B:$B,PRÉSTAMOS!J:J,"")=0,"",_xlfn.XLOOKUP(Clientes[[#This Row],[IDENTIFICACIÓN]],PRÉSTAMOS!$B:$B,PRÉSTAMOS!J:J,""))</f>
        <v/>
      </c>
      <c r="K9" s="140" t="s">
        <v>51</v>
      </c>
    </row>
    <row r="10" spans="1:11" x14ac:dyDescent="0.25">
      <c r="A10" t="str">
        <f>+_xlfn.XLOOKUP(Clientes[[#This Row],[IDENTIFICACIÓN]],PRÉSTAMOS!$B:$B,PRÉSTAMOS!A:A)</f>
        <v>ALONSO RINCÓN LÓPEZ</v>
      </c>
      <c r="B10">
        <v>10063257</v>
      </c>
      <c r="C10" t="str">
        <f>+IF(_xlfn.XLOOKUP(Clientes[[#This Row],[IDENTIFICACIÓN]],PRÉSTAMOS!$B:$B,PRÉSTAMOS!C:C,"")=0,"",_xlfn.XLOOKUP(Clientes[[#This Row],[IDENTIFICACIÓN]],PRÉSTAMOS!$B:$B,PRÉSTAMOS!C:C,""))</f>
        <v/>
      </c>
      <c r="D10" t="str">
        <f>+IF(_xlfn.XLOOKUP(Clientes[[#This Row],[IDENTIFICACIÓN]],PRÉSTAMOS!$B:$B,PRÉSTAMOS!E:E,"")=0,"",_xlfn.XLOOKUP(Clientes[[#This Row],[IDENTIFICACIÓN]],PRÉSTAMOS!$B:$B,PRÉSTAMOS!E:E,""))</f>
        <v>Calle 24 # 11-23Bis - Pereira</v>
      </c>
      <c r="E10" t="str">
        <f>+IF(_xlfn.XLOOKUP(Clientes[[#This Row],[IDENTIFICACIÓN]],PRÉSTAMOS!$B:$B,PRÉSTAMOS!F:F,"")=0,"",_xlfn.XLOOKUP(Clientes[[#This Row],[IDENTIFICACIÓN]],PRÉSTAMOS!$B:$B,PRÉSTAMOS!F:F,""))</f>
        <v/>
      </c>
      <c r="F10" t="str">
        <f>+IF(_xlfn.XLOOKUP(Clientes[[#This Row],[IDENTIFICACIÓN]],PRÉSTAMOS!$B:$B,PRÉSTAMOS!G:G,"")=0,"",_xlfn.XLOOKUP(Clientes[[#This Row],[IDENTIFICACIÓN]],PRÉSTAMOS!$B:$B,PRÉSTAMOS!G:G,""))</f>
        <v/>
      </c>
      <c r="G10" t="str">
        <f>+IF(_xlfn.XLOOKUP(Clientes[[#This Row],[IDENTIFICACIÓN]],PRÉSTAMOS!$B:$B,PRÉSTAMOS!H:H,"")=0,"",_xlfn.XLOOKUP(Clientes[[#This Row],[IDENTIFICACIÓN]],PRÉSTAMOS!$B:$B,PRÉSTAMOS!H:H,""))</f>
        <v/>
      </c>
      <c r="H10">
        <f>+IF(_xlfn.XLOOKUP(Clientes[[#This Row],[IDENTIFICACIÓN]],PRÉSTAMOS!$B:$B,PRÉSTAMOS!I:I,"")=0,"",_xlfn.XLOOKUP(Clientes[[#This Row],[IDENTIFICACIÓN]],PRÉSTAMOS!$B:$B,PRÉSTAMOS!I:I,""))</f>
        <v>3104711383</v>
      </c>
      <c r="I10" t="str">
        <f>+IF(_xlfn.XLOOKUP(Clientes[[#This Row],[IDENTIFICACIÓN]],PRÉSTAMOS!$B:$B,PRÉSTAMOS!J:J,"")=0,"",_xlfn.XLOOKUP(Clientes[[#This Row],[IDENTIFICACIÓN]],PRÉSTAMOS!$B:$B,PRÉSTAMOS!J:J,""))</f>
        <v/>
      </c>
    </row>
    <row r="11" spans="1:11" x14ac:dyDescent="0.25">
      <c r="A11" t="str">
        <f>+_xlfn.XLOOKUP(Clientes[[#This Row],[IDENTIFICACIÓN]],PRÉSTAMOS!$B:$B,PRÉSTAMOS!A:A)</f>
        <v>HÉCTOR DARÍO DUQUE CIFUENTES</v>
      </c>
      <c r="B11">
        <v>10109440</v>
      </c>
      <c r="C11" t="str">
        <f>+IF(_xlfn.XLOOKUP(Clientes[[#This Row],[IDENTIFICACIÓN]],PRÉSTAMOS!$B:$B,PRÉSTAMOS!C:C,"")=0,"",_xlfn.XLOOKUP(Clientes[[#This Row],[IDENTIFICACIÓN]],PRÉSTAMOS!$B:$B,PRÉSTAMOS!C:C,""))</f>
        <v/>
      </c>
      <c r="D11" t="str">
        <f>+IF(_xlfn.XLOOKUP(Clientes[[#This Row],[IDENTIFICACIÓN]],PRÉSTAMOS!$B:$B,PRÉSTAMOS!E:E,"")=0,"",_xlfn.XLOOKUP(Clientes[[#This Row],[IDENTIFICACIÓN]],PRÉSTAMOS!$B:$B,PRÉSTAMOS!E:E,""))</f>
        <v>Calle 9 2W-40 La Badea - Dosquebradas</v>
      </c>
      <c r="E11" t="str">
        <f>+IF(_xlfn.XLOOKUP(Clientes[[#This Row],[IDENTIFICACIÓN]],PRÉSTAMOS!$B:$B,PRÉSTAMOS!F:F,"")=0,"",_xlfn.XLOOKUP(Clientes[[#This Row],[IDENTIFICACIÓN]],PRÉSTAMOS!$B:$B,PRÉSTAMOS!F:F,""))</f>
        <v/>
      </c>
      <c r="F11" t="str">
        <f>+IF(_xlfn.XLOOKUP(Clientes[[#This Row],[IDENTIFICACIÓN]],PRÉSTAMOS!$B:$B,PRÉSTAMOS!G:G,"")=0,"",_xlfn.XLOOKUP(Clientes[[#This Row],[IDENTIFICACIÓN]],PRÉSTAMOS!$B:$B,PRÉSTAMOS!G:G,""))</f>
        <v/>
      </c>
      <c r="G11" t="str">
        <f>+IF(_xlfn.XLOOKUP(Clientes[[#This Row],[IDENTIFICACIÓN]],PRÉSTAMOS!$B:$B,PRÉSTAMOS!H:H,"")=0,"",_xlfn.XLOOKUP(Clientes[[#This Row],[IDENTIFICACIÓN]],PRÉSTAMOS!$B:$B,PRÉSTAMOS!H:H,""))</f>
        <v/>
      </c>
      <c r="H11">
        <f>+IF(_xlfn.XLOOKUP(Clientes[[#This Row],[IDENTIFICACIÓN]],PRÉSTAMOS!$B:$B,PRÉSTAMOS!I:I,"")=0,"",_xlfn.XLOOKUP(Clientes[[#This Row],[IDENTIFICACIÓN]],PRÉSTAMOS!$B:$B,PRÉSTAMOS!I:I,""))</f>
        <v>3053413440</v>
      </c>
      <c r="I11" t="str">
        <f>+IF(_xlfn.XLOOKUP(Clientes[[#This Row],[IDENTIFICACIÓN]],PRÉSTAMOS!$B:$B,PRÉSTAMOS!J:J,"")=0,"",_xlfn.XLOOKUP(Clientes[[#This Row],[IDENTIFICACIÓN]],PRÉSTAMOS!$B:$B,PRÉSTAMOS!J:J,""))</f>
        <v/>
      </c>
    </row>
    <row r="12" spans="1:11" x14ac:dyDescent="0.25">
      <c r="A12" t="str">
        <f>+_xlfn.XLOOKUP(Clientes[[#This Row],[IDENTIFICACIÓN]],PRÉSTAMOS!$B:$B,PRÉSTAMOS!A:A)</f>
        <v>DORA ELSY ROMERO OTÁLVARO</v>
      </c>
      <c r="B12">
        <v>42056761</v>
      </c>
      <c r="C12" t="str">
        <f>+IF(_xlfn.XLOOKUP(Clientes[[#This Row],[IDENTIFICACIÓN]],PRÉSTAMOS!$B:$B,PRÉSTAMOS!C:C,"")=0,"",_xlfn.XLOOKUP(Clientes[[#This Row],[IDENTIFICACIÓN]],PRÉSTAMOS!$B:$B,PRÉSTAMOS!C:C,""))</f>
        <v/>
      </c>
      <c r="D12" t="str">
        <f>+IF(_xlfn.XLOOKUP(Clientes[[#This Row],[IDENTIFICACIÓN]],PRÉSTAMOS!$B:$B,PRÉSTAMOS!E:E,"")=0,"",_xlfn.XLOOKUP(Clientes[[#This Row],[IDENTIFICACIÓN]],PRÉSTAMOS!$B:$B,PRÉSTAMOS!E:E,""))</f>
        <v>Carrera 20 # 3A - 51 B/Pinares Campestre Apt. 3102 - Pereira</v>
      </c>
      <c r="E12" t="str">
        <f>+IF(_xlfn.XLOOKUP(Clientes[[#This Row],[IDENTIFICACIÓN]],PRÉSTAMOS!$B:$B,PRÉSTAMOS!F:F,"")=0,"",_xlfn.XLOOKUP(Clientes[[#This Row],[IDENTIFICACIÓN]],PRÉSTAMOS!$B:$B,PRÉSTAMOS!F:F,""))</f>
        <v/>
      </c>
      <c r="F12" t="str">
        <f>+IF(_xlfn.XLOOKUP(Clientes[[#This Row],[IDENTIFICACIÓN]],PRÉSTAMOS!$B:$B,PRÉSTAMOS!G:G,"")=0,"",_xlfn.XLOOKUP(Clientes[[#This Row],[IDENTIFICACIÓN]],PRÉSTAMOS!$B:$B,PRÉSTAMOS!G:G,""))</f>
        <v/>
      </c>
      <c r="G12" t="str">
        <f>+IF(_xlfn.XLOOKUP(Clientes[[#This Row],[IDENTIFICACIÓN]],PRÉSTAMOS!$B:$B,PRÉSTAMOS!H:H,"")=0,"",_xlfn.XLOOKUP(Clientes[[#This Row],[IDENTIFICACIÓN]],PRÉSTAMOS!$B:$B,PRÉSTAMOS!H:H,""))</f>
        <v/>
      </c>
      <c r="H12">
        <f>+IF(_xlfn.XLOOKUP(Clientes[[#This Row],[IDENTIFICACIÓN]],PRÉSTAMOS!$B:$B,PRÉSTAMOS!I:I,"")=0,"",_xlfn.XLOOKUP(Clientes[[#This Row],[IDENTIFICACIÓN]],PRÉSTAMOS!$B:$B,PRÉSTAMOS!I:I,""))</f>
        <v>3173776557</v>
      </c>
      <c r="I12" t="str">
        <f>+IF(_xlfn.XLOOKUP(Clientes[[#This Row],[IDENTIFICACIÓN]],PRÉSTAMOS!$B:$B,PRÉSTAMOS!J:J,"")=0,"",_xlfn.XLOOKUP(Clientes[[#This Row],[IDENTIFICACIÓN]],PRÉSTAMOS!$B:$B,PRÉSTAMOS!J:J,""))</f>
        <v/>
      </c>
    </row>
    <row r="13" spans="1:11" x14ac:dyDescent="0.25">
      <c r="A13" t="str">
        <f>+_xlfn.XLOOKUP(Clientes[[#This Row],[IDENTIFICACIÓN]],PRÉSTAMOS!$B:$B,PRÉSTAMOS!A:A)</f>
        <v>JULIO CÉSAR RESTREPO VALENCIA</v>
      </c>
      <c r="B13">
        <v>10073529</v>
      </c>
      <c r="C13" t="str">
        <f>+IF(_xlfn.XLOOKUP(Clientes[[#This Row],[IDENTIFICACIÓN]],PRÉSTAMOS!$B:$B,PRÉSTAMOS!C:C,"")=0,"",_xlfn.XLOOKUP(Clientes[[#This Row],[IDENTIFICACIÓN]],PRÉSTAMOS!$B:$B,PRÉSTAMOS!C:C,""))</f>
        <v/>
      </c>
      <c r="D13" t="str">
        <f>+IF(_xlfn.XLOOKUP(Clientes[[#This Row],[IDENTIFICACIÓN]],PRÉSTAMOS!$B:$B,PRÉSTAMOS!E:E,"")=0,"",_xlfn.XLOOKUP(Clientes[[#This Row],[IDENTIFICACIÓN]],PRÉSTAMOS!$B:$B,PRÉSTAMOS!E:E,""))</f>
        <v>Conj. Colina Verde Casa 3 Vda. Sabanitas Baja - Dosquebradas</v>
      </c>
      <c r="E13" t="str">
        <f>+IF(_xlfn.XLOOKUP(Clientes[[#This Row],[IDENTIFICACIÓN]],PRÉSTAMOS!$B:$B,PRÉSTAMOS!F:F,"")=0,"",_xlfn.XLOOKUP(Clientes[[#This Row],[IDENTIFICACIÓN]],PRÉSTAMOS!$B:$B,PRÉSTAMOS!F:F,""))</f>
        <v/>
      </c>
      <c r="F13" t="str">
        <f>+IF(_xlfn.XLOOKUP(Clientes[[#This Row],[IDENTIFICACIÓN]],PRÉSTAMOS!$B:$B,PRÉSTAMOS!G:G,"")=0,"",_xlfn.XLOOKUP(Clientes[[#This Row],[IDENTIFICACIÓN]],PRÉSTAMOS!$B:$B,PRÉSTAMOS!G:G,""))</f>
        <v/>
      </c>
      <c r="G13" t="str">
        <f>+IF(_xlfn.XLOOKUP(Clientes[[#This Row],[IDENTIFICACIÓN]],PRÉSTAMOS!$B:$B,PRÉSTAMOS!H:H,"")=0,"",_xlfn.XLOOKUP(Clientes[[#This Row],[IDENTIFICACIÓN]],PRÉSTAMOS!$B:$B,PRÉSTAMOS!H:H,""))</f>
        <v/>
      </c>
      <c r="H13">
        <f>+IF(_xlfn.XLOOKUP(Clientes[[#This Row],[IDENTIFICACIÓN]],PRÉSTAMOS!$B:$B,PRÉSTAMOS!I:I,"")=0,"",_xlfn.XLOOKUP(Clientes[[#This Row],[IDENTIFICACIÓN]],PRÉSTAMOS!$B:$B,PRÉSTAMOS!I:I,""))</f>
        <v>3207184824</v>
      </c>
      <c r="I13" s="124" t="str">
        <f>+IF(_xlfn.XLOOKUP(Clientes[[#This Row],[IDENTIFICACIÓN]],PRÉSTAMOS!$B:$B,PRÉSTAMOS!J:J,"")=0,"",_xlfn.XLOOKUP(Clientes[[#This Row],[IDENTIFICACIÓN]],PRÉSTAMOS!$B:$B,PRÉSTAMOS!J:J,""))</f>
        <v/>
      </c>
    </row>
    <row r="14" spans="1:11" x14ac:dyDescent="0.25">
      <c r="A14" t="str">
        <f>+_xlfn.XLOOKUP(Clientes[[#This Row],[IDENTIFICACIÓN]],PRÉSTAMOS!$B:$B,PRÉSTAMOS!A:A)</f>
        <v>LUIS ÁNGEL MONTES VALLEJO</v>
      </c>
      <c r="B14">
        <v>10220144</v>
      </c>
      <c r="C14" t="str">
        <f>+IF(_xlfn.XLOOKUP(Clientes[[#This Row],[IDENTIFICACIÓN]],PRÉSTAMOS!$B:$B,PRÉSTAMOS!C:C,"")=0,"",_xlfn.XLOOKUP(Clientes[[#This Row],[IDENTIFICACIÓN]],PRÉSTAMOS!$B:$B,PRÉSTAMOS!C:C,""))</f>
        <v/>
      </c>
      <c r="D14" t="str">
        <f>+IF(_xlfn.XLOOKUP(Clientes[[#This Row],[IDENTIFICACIÓN]],PRÉSTAMOS!$B:$B,PRÉSTAMOS!E:E,"")=0,"",_xlfn.XLOOKUP(Clientes[[#This Row],[IDENTIFICACIÓN]],PRÉSTAMOS!$B:$B,PRÉSTAMOS!E:E,""))</f>
        <v>B/Bosque de la Acuarela IV Mz. 9 Casa 51 - Dosquebradas</v>
      </c>
      <c r="E14" t="str">
        <f>+IF(_xlfn.XLOOKUP(Clientes[[#This Row],[IDENTIFICACIÓN]],PRÉSTAMOS!$B:$B,PRÉSTAMOS!F:F,"")=0,"",_xlfn.XLOOKUP(Clientes[[#This Row],[IDENTIFICACIÓN]],PRÉSTAMOS!$B:$B,PRÉSTAMOS!F:F,""))</f>
        <v/>
      </c>
      <c r="F14" t="str">
        <f>+IF(_xlfn.XLOOKUP(Clientes[[#This Row],[IDENTIFICACIÓN]],PRÉSTAMOS!$B:$B,PRÉSTAMOS!G:G,"")=0,"",_xlfn.XLOOKUP(Clientes[[#This Row],[IDENTIFICACIÓN]],PRÉSTAMOS!$B:$B,PRÉSTAMOS!G:G,""))</f>
        <v/>
      </c>
      <c r="G14" t="str">
        <f>+IF(_xlfn.XLOOKUP(Clientes[[#This Row],[IDENTIFICACIÓN]],PRÉSTAMOS!$B:$B,PRÉSTAMOS!H:H,"")=0,"",_xlfn.XLOOKUP(Clientes[[#This Row],[IDENTIFICACIÓN]],PRÉSTAMOS!$B:$B,PRÉSTAMOS!H:H,""))</f>
        <v/>
      </c>
      <c r="H14">
        <f>+IF(_xlfn.XLOOKUP(Clientes[[#This Row],[IDENTIFICACIÓN]],PRÉSTAMOS!$B:$B,PRÉSTAMOS!I:I,"")=0,"",_xlfn.XLOOKUP(Clientes[[#This Row],[IDENTIFICACIÓN]],PRÉSTAMOS!$B:$B,PRÉSTAMOS!I:I,""))</f>
        <v>3135263442</v>
      </c>
      <c r="I14" t="str">
        <f>+IF(_xlfn.XLOOKUP(Clientes[[#This Row],[IDENTIFICACIÓN]],PRÉSTAMOS!$B:$B,PRÉSTAMOS!J:J,"")=0,"",_xlfn.XLOOKUP(Clientes[[#This Row],[IDENTIFICACIÓN]],PRÉSTAMOS!$B:$B,PRÉSTAMOS!J:J,""))</f>
        <v/>
      </c>
    </row>
    <row r="15" spans="1:11" x14ac:dyDescent="0.25">
      <c r="A15" t="str">
        <f>+_xlfn.XLOOKUP(Clientes[[#This Row],[IDENTIFICACIÓN]],PRÉSTAMOS!$B:$B,PRÉSTAMOS!A:A)</f>
        <v>JOSÉ RUBÉN GARCÍA OSPINA</v>
      </c>
      <c r="B15">
        <v>15896014</v>
      </c>
      <c r="C15" t="str">
        <f>+IF(_xlfn.XLOOKUP(Clientes[[#This Row],[IDENTIFICACIÓN]],PRÉSTAMOS!$B:$B,PRÉSTAMOS!C:C,"")=0,"",_xlfn.XLOOKUP(Clientes[[#This Row],[IDENTIFICACIÓN]],PRÉSTAMOS!$B:$B,PRÉSTAMOS!C:C,""))</f>
        <v/>
      </c>
      <c r="D15" t="str">
        <f>+IF(_xlfn.XLOOKUP(Clientes[[#This Row],[IDENTIFICACIÓN]],PRÉSTAMOS!$B:$B,PRÉSTAMOS!E:E,"")=0,"",_xlfn.XLOOKUP(Clientes[[#This Row],[IDENTIFICACIÓN]],PRÉSTAMOS!$B:$B,PRÉSTAMOS!E:E,""))</f>
        <v>Carrera 3 A # 7-41 B/Panorama - Chinchiná</v>
      </c>
      <c r="E15" t="str">
        <f>+IF(_xlfn.XLOOKUP(Clientes[[#This Row],[IDENTIFICACIÓN]],PRÉSTAMOS!$B:$B,PRÉSTAMOS!F:F,"")=0,"",_xlfn.XLOOKUP(Clientes[[#This Row],[IDENTIFICACIÓN]],PRÉSTAMOS!$B:$B,PRÉSTAMOS!F:F,""))</f>
        <v/>
      </c>
      <c r="F15" t="str">
        <f>+IF(_xlfn.XLOOKUP(Clientes[[#This Row],[IDENTIFICACIÓN]],PRÉSTAMOS!$B:$B,PRÉSTAMOS!G:G,"")=0,"",_xlfn.XLOOKUP(Clientes[[#This Row],[IDENTIFICACIÓN]],PRÉSTAMOS!$B:$B,PRÉSTAMOS!G:G,""))</f>
        <v/>
      </c>
      <c r="G15" t="str">
        <f>+IF(_xlfn.XLOOKUP(Clientes[[#This Row],[IDENTIFICACIÓN]],PRÉSTAMOS!$B:$B,PRÉSTAMOS!H:H,"")=0,"",_xlfn.XLOOKUP(Clientes[[#This Row],[IDENTIFICACIÓN]],PRÉSTAMOS!$B:$B,PRÉSTAMOS!H:H,""))</f>
        <v/>
      </c>
      <c r="H15">
        <f>+IF(_xlfn.XLOOKUP(Clientes[[#This Row],[IDENTIFICACIÓN]],PRÉSTAMOS!$B:$B,PRÉSTAMOS!I:I,"")=0,"",_xlfn.XLOOKUP(Clientes[[#This Row],[IDENTIFICACIÓN]],PRÉSTAMOS!$B:$B,PRÉSTAMOS!I:I,""))</f>
        <v>3106248962</v>
      </c>
      <c r="I15" t="str">
        <f>+IF(_xlfn.XLOOKUP(Clientes[[#This Row],[IDENTIFICACIÓN]],PRÉSTAMOS!$B:$B,PRÉSTAMOS!J:J,"")=0,"",_xlfn.XLOOKUP(Clientes[[#This Row],[IDENTIFICACIÓN]],PRÉSTAMOS!$B:$B,PRÉSTAMOS!J:J,""))</f>
        <v/>
      </c>
    </row>
    <row r="16" spans="1:11" x14ac:dyDescent="0.25">
      <c r="A16" t="str">
        <f>+_xlfn.XLOOKUP(Clientes[[#This Row],[IDENTIFICACIÓN]],PRÉSTAMOS!$B:$B,PRÉSTAMOS!A:A)</f>
        <v>JAIME RAMÍREZ OSPINA</v>
      </c>
      <c r="B16">
        <v>10060779</v>
      </c>
      <c r="C16" t="str">
        <f>+IF(_xlfn.XLOOKUP(Clientes[[#This Row],[IDENTIFICACIÓN]],PRÉSTAMOS!$B:$B,PRÉSTAMOS!C:C,"")=0,"",_xlfn.XLOOKUP(Clientes[[#This Row],[IDENTIFICACIÓN]],PRÉSTAMOS!$B:$B,PRÉSTAMOS!C:C,""))</f>
        <v>Pereira</v>
      </c>
      <c r="D16" t="str">
        <f>+IF(_xlfn.XLOOKUP(Clientes[[#This Row],[IDENTIFICACIÓN]],PRÉSTAMOS!$B:$B,PRÉSTAMOS!E:E,"")=0,"",_xlfn.XLOOKUP(Clientes[[#This Row],[IDENTIFICACIÓN]],PRÉSTAMOS!$B:$B,PRÉSTAMOS!E:E,""))</f>
        <v>Manzana 20 Casa 29</v>
      </c>
      <c r="E16" t="str">
        <f>+IF(_xlfn.XLOOKUP(Clientes[[#This Row],[IDENTIFICACIÓN]],PRÉSTAMOS!$B:$B,PRÉSTAMOS!F:F,"")=0,"",_xlfn.XLOOKUP(Clientes[[#This Row],[IDENTIFICACIÓN]],PRÉSTAMOS!$B:$B,PRÉSTAMOS!F:F,""))</f>
        <v>B/Campestre A</v>
      </c>
      <c r="F16" t="str">
        <f>+IF(_xlfn.XLOOKUP(Clientes[[#This Row],[IDENTIFICACIÓN]],PRÉSTAMOS!$B:$B,PRÉSTAMOS!G:G,"")=0,"",_xlfn.XLOOKUP(Clientes[[#This Row],[IDENTIFICACIÓN]],PRÉSTAMOS!$B:$B,PRÉSTAMOS!G:G,""))</f>
        <v>Dosquebradas</v>
      </c>
      <c r="G16" t="str">
        <f>+IF(_xlfn.XLOOKUP(Clientes[[#This Row],[IDENTIFICACIÓN]],PRÉSTAMOS!$B:$B,PRÉSTAMOS!H:H,"")=0,"",_xlfn.XLOOKUP(Clientes[[#This Row],[IDENTIFICACIÓN]],PRÉSTAMOS!$B:$B,PRÉSTAMOS!H:H,""))</f>
        <v>Risaralda</v>
      </c>
      <c r="H16">
        <f>+IF(_xlfn.XLOOKUP(Clientes[[#This Row],[IDENTIFICACIÓN]],PRÉSTAMOS!$B:$B,PRÉSTAMOS!I:I,"")=0,"",_xlfn.XLOOKUP(Clientes[[#This Row],[IDENTIFICACIÓN]],PRÉSTAMOS!$B:$B,PRÉSTAMOS!I:I,""))</f>
        <v>3178487073</v>
      </c>
      <c r="I16" t="str">
        <f>+IF(_xlfn.XLOOKUP(Clientes[[#This Row],[IDENTIFICACIÓN]],PRÉSTAMOS!$B:$B,PRÉSTAMOS!J:J,"")=0,"",_xlfn.XLOOKUP(Clientes[[#This Row],[IDENTIFICACIÓN]],PRÉSTAMOS!$B:$B,PRÉSTAMOS!J:J,""))</f>
        <v>jaimeramirezospina133@gmail.com</v>
      </c>
    </row>
    <row r="17" spans="1:9" x14ac:dyDescent="0.25">
      <c r="A17" t="str">
        <f>+_xlfn.XLOOKUP(Clientes[[#This Row],[IDENTIFICACIÓN]],PRÉSTAMOS!$B:$B,PRÉSTAMOS!A:A)</f>
        <v>HERNÁN CARVAJAL PÉREZ</v>
      </c>
      <c r="B17">
        <v>10094542</v>
      </c>
      <c r="C17" t="str">
        <f>+IF(_xlfn.XLOOKUP(Clientes[[#This Row],[IDENTIFICACIÓN]],PRÉSTAMOS!$B:$B,PRÉSTAMOS!C:C,"")=0,"",_xlfn.XLOOKUP(Clientes[[#This Row],[IDENTIFICACIÓN]],PRÉSTAMOS!$B:$B,PRÉSTAMOS!C:C,""))</f>
        <v/>
      </c>
      <c r="D17" t="str">
        <f>+IF(_xlfn.XLOOKUP(Clientes[[#This Row],[IDENTIFICACIÓN]],PRÉSTAMOS!$B:$B,PRÉSTAMOS!E:E,"")=0,"",_xlfn.XLOOKUP(Clientes[[#This Row],[IDENTIFICACIÓN]],PRÉSTAMOS!$B:$B,PRÉSTAMOS!E:E,""))</f>
        <v>Manzana 2 Casa 1 Piso 2 - B/Portal del Campo (Galicia) - Pereira</v>
      </c>
      <c r="E17" t="str">
        <f>+IF(_xlfn.XLOOKUP(Clientes[[#This Row],[IDENTIFICACIÓN]],PRÉSTAMOS!$B:$B,PRÉSTAMOS!F:F,"")=0,"",_xlfn.XLOOKUP(Clientes[[#This Row],[IDENTIFICACIÓN]],PRÉSTAMOS!$B:$B,PRÉSTAMOS!F:F,""))</f>
        <v/>
      </c>
      <c r="F17" t="str">
        <f>+IF(_xlfn.XLOOKUP(Clientes[[#This Row],[IDENTIFICACIÓN]],PRÉSTAMOS!$B:$B,PRÉSTAMOS!G:G,"")=0,"",_xlfn.XLOOKUP(Clientes[[#This Row],[IDENTIFICACIÓN]],PRÉSTAMOS!$B:$B,PRÉSTAMOS!G:G,""))</f>
        <v/>
      </c>
      <c r="G17" t="str">
        <f>+IF(_xlfn.XLOOKUP(Clientes[[#This Row],[IDENTIFICACIÓN]],PRÉSTAMOS!$B:$B,PRÉSTAMOS!H:H,"")=0,"",_xlfn.XLOOKUP(Clientes[[#This Row],[IDENTIFICACIÓN]],PRÉSTAMOS!$B:$B,PRÉSTAMOS!H:H,""))</f>
        <v/>
      </c>
      <c r="H17">
        <f>+IF(_xlfn.XLOOKUP(Clientes[[#This Row],[IDENTIFICACIÓN]],PRÉSTAMOS!$B:$B,PRÉSTAMOS!I:I,"")=0,"",_xlfn.XLOOKUP(Clientes[[#This Row],[IDENTIFICACIÓN]],PRÉSTAMOS!$B:$B,PRÉSTAMOS!I:I,""))</f>
        <v>3016885914</v>
      </c>
      <c r="I17" t="str">
        <f>+IF(_xlfn.XLOOKUP(Clientes[[#This Row],[IDENTIFICACIÓN]],PRÉSTAMOS!$B:$B,PRÉSTAMOS!J:J,"")=0,"",_xlfn.XLOOKUP(Clientes[[#This Row],[IDENTIFICACIÓN]],PRÉSTAMOS!$B:$B,PRÉSTAMOS!J:J,""))</f>
        <v/>
      </c>
    </row>
    <row r="18" spans="1:9" x14ac:dyDescent="0.25">
      <c r="A18" t="str">
        <f>+_xlfn.XLOOKUP(Clientes[[#This Row],[IDENTIFICACIÓN]],PRÉSTAMOS!$B:$B,PRÉSTAMOS!A:A)</f>
        <v>JORGE ENRIQUE PATIÑO ARENAS</v>
      </c>
      <c r="B18">
        <v>18507024</v>
      </c>
      <c r="C18" t="str">
        <f>+IF(_xlfn.XLOOKUP(Clientes[[#This Row],[IDENTIFICACIÓN]],PRÉSTAMOS!$B:$B,PRÉSTAMOS!C:C,"")=0,"",_xlfn.XLOOKUP(Clientes[[#This Row],[IDENTIFICACIÓN]],PRÉSTAMOS!$B:$B,PRÉSTAMOS!C:C,""))</f>
        <v/>
      </c>
      <c r="D18" t="str">
        <f>+IF(_xlfn.XLOOKUP(Clientes[[#This Row],[IDENTIFICACIÓN]],PRÉSTAMOS!$B:$B,PRÉSTAMOS!E:E,"")=0,"",_xlfn.XLOOKUP(Clientes[[#This Row],[IDENTIFICACIÓN]],PRÉSTAMOS!$B:$B,PRÉSTAMOS!E:E,""))</f>
        <v>Manzana 18 Casa 16 B/El Dorado - Pereira</v>
      </c>
      <c r="E18" t="str">
        <f>+IF(_xlfn.XLOOKUP(Clientes[[#This Row],[IDENTIFICACIÓN]],PRÉSTAMOS!$B:$B,PRÉSTAMOS!F:F,"")=0,"",_xlfn.XLOOKUP(Clientes[[#This Row],[IDENTIFICACIÓN]],PRÉSTAMOS!$B:$B,PRÉSTAMOS!F:F,""))</f>
        <v/>
      </c>
      <c r="F18" t="str">
        <f>+IF(_xlfn.XLOOKUP(Clientes[[#This Row],[IDENTIFICACIÓN]],PRÉSTAMOS!$B:$B,PRÉSTAMOS!G:G,"")=0,"",_xlfn.XLOOKUP(Clientes[[#This Row],[IDENTIFICACIÓN]],PRÉSTAMOS!$B:$B,PRÉSTAMOS!G:G,""))</f>
        <v/>
      </c>
      <c r="G18" t="str">
        <f>+IF(_xlfn.XLOOKUP(Clientes[[#This Row],[IDENTIFICACIÓN]],PRÉSTAMOS!$B:$B,PRÉSTAMOS!H:H,"")=0,"",_xlfn.XLOOKUP(Clientes[[#This Row],[IDENTIFICACIÓN]],PRÉSTAMOS!$B:$B,PRÉSTAMOS!H:H,""))</f>
        <v/>
      </c>
      <c r="H18">
        <f>+IF(_xlfn.XLOOKUP(Clientes[[#This Row],[IDENTIFICACIÓN]],PRÉSTAMOS!$B:$B,PRÉSTAMOS!I:I,"")=0,"",_xlfn.XLOOKUP(Clientes[[#This Row],[IDENTIFICACIÓN]],PRÉSTAMOS!$B:$B,PRÉSTAMOS!I:I,""))</f>
        <v>3158762448</v>
      </c>
      <c r="I18" t="str">
        <f>+IF(_xlfn.XLOOKUP(Clientes[[#This Row],[IDENTIFICACIÓN]],PRÉSTAMOS!$B:$B,PRÉSTAMOS!J:J,"")=0,"",_xlfn.XLOOKUP(Clientes[[#This Row],[IDENTIFICACIÓN]],PRÉSTAMOS!$B:$B,PRÉSTAMOS!J:J,""))</f>
        <v/>
      </c>
    </row>
    <row r="19" spans="1:9" x14ac:dyDescent="0.25">
      <c r="A19" t="str">
        <f>+_xlfn.XLOOKUP(Clientes[[#This Row],[IDENTIFICACIÓN]],PRÉSTAMOS!$B:$B,PRÉSTAMOS!A:A)</f>
        <v>ALBA LUZ PRIETO DE DAZA</v>
      </c>
      <c r="B19">
        <v>28546398</v>
      </c>
      <c r="C19" t="str">
        <f>+IF(_xlfn.XLOOKUP(Clientes[[#This Row],[IDENTIFICACIÓN]],PRÉSTAMOS!$B:$B,PRÉSTAMOS!C:C,"")=0,"",_xlfn.XLOOKUP(Clientes[[#This Row],[IDENTIFICACIÓN]],PRÉSTAMOS!$B:$B,PRÉSTAMOS!C:C,""))</f>
        <v/>
      </c>
      <c r="D19" t="str">
        <f>+IF(_xlfn.XLOOKUP(Clientes[[#This Row],[IDENTIFICACIÓN]],PRÉSTAMOS!$B:$B,PRÉSTAMOS!E:E,"")=0,"",_xlfn.XLOOKUP(Clientes[[#This Row],[IDENTIFICACIÓN]],PRÉSTAMOS!$B:$B,PRÉSTAMOS!E:E,""))</f>
        <v>Carrera 23 A # 12-31 Piso 1 B/Álamos - Armenia</v>
      </c>
      <c r="E19" t="str">
        <f>+IF(_xlfn.XLOOKUP(Clientes[[#This Row],[IDENTIFICACIÓN]],PRÉSTAMOS!$B:$B,PRÉSTAMOS!F:F,"")=0,"",_xlfn.XLOOKUP(Clientes[[#This Row],[IDENTIFICACIÓN]],PRÉSTAMOS!$B:$B,PRÉSTAMOS!F:F,""))</f>
        <v/>
      </c>
      <c r="F19" t="str">
        <f>+IF(_xlfn.XLOOKUP(Clientes[[#This Row],[IDENTIFICACIÓN]],PRÉSTAMOS!$B:$B,PRÉSTAMOS!G:G,"")=0,"",_xlfn.XLOOKUP(Clientes[[#This Row],[IDENTIFICACIÓN]],PRÉSTAMOS!$B:$B,PRÉSTAMOS!G:G,""))</f>
        <v/>
      </c>
      <c r="G19" t="str">
        <f>+IF(_xlfn.XLOOKUP(Clientes[[#This Row],[IDENTIFICACIÓN]],PRÉSTAMOS!$B:$B,PRÉSTAMOS!H:H,"")=0,"",_xlfn.XLOOKUP(Clientes[[#This Row],[IDENTIFICACIÓN]],PRÉSTAMOS!$B:$B,PRÉSTAMOS!H:H,""))</f>
        <v/>
      </c>
      <c r="H19">
        <f>+IF(_xlfn.XLOOKUP(Clientes[[#This Row],[IDENTIFICACIÓN]],PRÉSTAMOS!$B:$B,PRÉSTAMOS!I:I,"")=0,"",_xlfn.XLOOKUP(Clientes[[#This Row],[IDENTIFICACIÓN]],PRÉSTAMOS!$B:$B,PRÉSTAMOS!I:I,""))</f>
        <v>3122911180</v>
      </c>
      <c r="I19" t="str">
        <f>+IF(_xlfn.XLOOKUP(Clientes[[#This Row],[IDENTIFICACIÓN]],PRÉSTAMOS!$B:$B,PRÉSTAMOS!J:J,"")=0,"",_xlfn.XLOOKUP(Clientes[[#This Row],[IDENTIFICACIÓN]],PRÉSTAMOS!$B:$B,PRÉSTAMOS!J:J,""))</f>
        <v/>
      </c>
    </row>
    <row r="20" spans="1:9" x14ac:dyDescent="0.25">
      <c r="A20" t="str">
        <f>+_xlfn.XLOOKUP(Clientes[[#This Row],[IDENTIFICACIÓN]],PRÉSTAMOS!$B:$B,PRÉSTAMOS!A:A)</f>
        <v>FRANCISCO ANTONIO GONZÁLEZ PALACIOS</v>
      </c>
      <c r="B20">
        <v>6555890</v>
      </c>
      <c r="C20" t="str">
        <f>+IF(_xlfn.XLOOKUP(Clientes[[#This Row],[IDENTIFICACIÓN]],PRÉSTAMOS!$B:$B,PRÉSTAMOS!C:C,"")=0,"",_xlfn.XLOOKUP(Clientes[[#This Row],[IDENTIFICACIÓN]],PRÉSTAMOS!$B:$B,PRÉSTAMOS!C:C,""))</f>
        <v/>
      </c>
      <c r="D20" t="str">
        <f>+IF(_xlfn.XLOOKUP(Clientes[[#This Row],[IDENTIFICACIÓN]],PRÉSTAMOS!$B:$B,PRÉSTAMOS!E:E,"")=0,"",_xlfn.XLOOKUP(Clientes[[#This Row],[IDENTIFICACIÓN]],PRÉSTAMOS!$B:$B,PRÉSTAMOS!E:E,""))</f>
        <v>Carrera 13 # 13-07A B/Balvanera - Zarzal</v>
      </c>
      <c r="E20" t="str">
        <f>+IF(_xlfn.XLOOKUP(Clientes[[#This Row],[IDENTIFICACIÓN]],PRÉSTAMOS!$B:$B,PRÉSTAMOS!F:F,"")=0,"",_xlfn.XLOOKUP(Clientes[[#This Row],[IDENTIFICACIÓN]],PRÉSTAMOS!$B:$B,PRÉSTAMOS!F:F,""))</f>
        <v/>
      </c>
      <c r="F20" t="str">
        <f>+IF(_xlfn.XLOOKUP(Clientes[[#This Row],[IDENTIFICACIÓN]],PRÉSTAMOS!$B:$B,PRÉSTAMOS!G:G,"")=0,"",_xlfn.XLOOKUP(Clientes[[#This Row],[IDENTIFICACIÓN]],PRÉSTAMOS!$B:$B,PRÉSTAMOS!G:G,""))</f>
        <v/>
      </c>
      <c r="G20" t="str">
        <f>+IF(_xlfn.XLOOKUP(Clientes[[#This Row],[IDENTIFICACIÓN]],PRÉSTAMOS!$B:$B,PRÉSTAMOS!H:H,"")=0,"",_xlfn.XLOOKUP(Clientes[[#This Row],[IDENTIFICACIÓN]],PRÉSTAMOS!$B:$B,PRÉSTAMOS!H:H,""))</f>
        <v/>
      </c>
      <c r="H20">
        <f>+IF(_xlfn.XLOOKUP(Clientes[[#This Row],[IDENTIFICACIÓN]],PRÉSTAMOS!$B:$B,PRÉSTAMOS!I:I,"")=0,"",_xlfn.XLOOKUP(Clientes[[#This Row],[IDENTIFICACIÓN]],PRÉSTAMOS!$B:$B,PRÉSTAMOS!I:I,""))</f>
        <v>3227898121</v>
      </c>
      <c r="I20" t="str">
        <f>+IF(_xlfn.XLOOKUP(Clientes[[#This Row],[IDENTIFICACIÓN]],PRÉSTAMOS!$B:$B,PRÉSTAMOS!J:J,"")=0,"",_xlfn.XLOOKUP(Clientes[[#This Row],[IDENTIFICACIÓN]],PRÉSTAMOS!$B:$B,PRÉSTAMOS!J:J,""))</f>
        <v/>
      </c>
    </row>
    <row r="21" spans="1:9" x14ac:dyDescent="0.25">
      <c r="A21" t="str">
        <f>+_xlfn.XLOOKUP(Clientes[[#This Row],[IDENTIFICACIÓN]],PRÉSTAMOS!$B:$B,PRÉSTAMOS!A:A)</f>
        <v>MARISOL SALINAS SERNA</v>
      </c>
      <c r="B21">
        <v>31419074</v>
      </c>
      <c r="C21" t="str">
        <f>+IF(_xlfn.XLOOKUP(Clientes[[#This Row],[IDENTIFICACIÓN]],PRÉSTAMOS!$B:$B,PRÉSTAMOS!C:C,"")=0,"",_xlfn.XLOOKUP(Clientes[[#This Row],[IDENTIFICACIÓN]],PRÉSTAMOS!$B:$B,PRÉSTAMOS!C:C,""))</f>
        <v>Cartago</v>
      </c>
      <c r="D21" t="str">
        <f>+IF(_xlfn.XLOOKUP(Clientes[[#This Row],[IDENTIFICACIÓN]],PRÉSTAMOS!$B:$B,PRÉSTAMOS!E:E,"")=0,"",_xlfn.XLOOKUP(Clientes[[#This Row],[IDENTIFICACIÓN]],PRÉSTAMOS!$B:$B,PRÉSTAMOS!E:E,""))</f>
        <v>Diagonal 1A # 1T-05</v>
      </c>
      <c r="E21" t="str">
        <f>+IF(_xlfn.XLOOKUP(Clientes[[#This Row],[IDENTIFICACIÓN]],PRÉSTAMOS!$B:$B,PRÉSTAMOS!F:F,"")=0,"",_xlfn.XLOOKUP(Clientes[[#This Row],[IDENTIFICACIÓN]],PRÉSTAMOS!$B:$B,PRÉSTAMOS!F:F,""))</f>
        <v>Paraíso</v>
      </c>
      <c r="F21" t="str">
        <f>+IF(_xlfn.XLOOKUP(Clientes[[#This Row],[IDENTIFICACIÓN]],PRÉSTAMOS!$B:$B,PRÉSTAMOS!G:G,"")=0,"",_xlfn.XLOOKUP(Clientes[[#This Row],[IDENTIFICACIÓN]],PRÉSTAMOS!$B:$B,PRÉSTAMOS!G:G,""))</f>
        <v>Cartago</v>
      </c>
      <c r="G21" t="str">
        <f>+IF(_xlfn.XLOOKUP(Clientes[[#This Row],[IDENTIFICACIÓN]],PRÉSTAMOS!$B:$B,PRÉSTAMOS!H:H,"")=0,"",_xlfn.XLOOKUP(Clientes[[#This Row],[IDENTIFICACIÓN]],PRÉSTAMOS!$B:$B,PRÉSTAMOS!H:H,""))</f>
        <v>Valle del Cauca</v>
      </c>
      <c r="H21">
        <f>+IF(_xlfn.XLOOKUP(Clientes[[#This Row],[IDENTIFICACIÓN]],PRÉSTAMOS!$B:$B,PRÉSTAMOS!I:I,"")=0,"",_xlfn.XLOOKUP(Clientes[[#This Row],[IDENTIFICACIÓN]],PRÉSTAMOS!$B:$B,PRÉSTAMOS!I:I,""))</f>
        <v>3137320922</v>
      </c>
      <c r="I21" t="str">
        <f>+IF(_xlfn.XLOOKUP(Clientes[[#This Row],[IDENTIFICACIÓN]],PRÉSTAMOS!$B:$B,PRÉSTAMOS!J:J,"")=0,"",_xlfn.XLOOKUP(Clientes[[#This Row],[IDENTIFICACIÓN]],PRÉSTAMOS!$B:$B,PRÉSTAMOS!J:J,""))</f>
        <v/>
      </c>
    </row>
    <row r="22" spans="1:9" x14ac:dyDescent="0.25">
      <c r="A22" t="str">
        <f>+_xlfn.XLOOKUP(Clientes[[#This Row],[IDENTIFICACIÓN]],PRÉSTAMOS!$B:$B,PRÉSTAMOS!A:A)</f>
        <v>CARLOS GERARDO GARCÍA JIMÉNEZ</v>
      </c>
      <c r="B22">
        <v>16474512</v>
      </c>
      <c r="C22" t="str">
        <f>+IF(_xlfn.XLOOKUP(Clientes[[#This Row],[IDENTIFICACIÓN]],PRÉSTAMOS!$B:$B,PRÉSTAMOS!C:C,"")=0,"",_xlfn.XLOOKUP(Clientes[[#This Row],[IDENTIFICACIÓN]],PRÉSTAMOS!$B:$B,PRÉSTAMOS!C:C,""))</f>
        <v/>
      </c>
      <c r="D22" t="str">
        <f>+IF(_xlfn.XLOOKUP(Clientes[[#This Row],[IDENTIFICACIÓN]],PRÉSTAMOS!$B:$B,PRÉSTAMOS!E:E,"")=0,"",_xlfn.XLOOKUP(Clientes[[#This Row],[IDENTIFICACIÓN]],PRÉSTAMOS!$B:$B,PRÉSTAMOS!E:E,""))</f>
        <v>Carrera 36 # 84B-30 Savannah aptos. Torre 2 apt. 609 - Pereira</v>
      </c>
      <c r="E22" t="str">
        <f>+IF(_xlfn.XLOOKUP(Clientes[[#This Row],[IDENTIFICACIÓN]],PRÉSTAMOS!$B:$B,PRÉSTAMOS!F:F,"")=0,"",_xlfn.XLOOKUP(Clientes[[#This Row],[IDENTIFICACIÓN]],PRÉSTAMOS!$B:$B,PRÉSTAMOS!F:F,""))</f>
        <v/>
      </c>
      <c r="F22" t="str">
        <f>+IF(_xlfn.XLOOKUP(Clientes[[#This Row],[IDENTIFICACIÓN]],PRÉSTAMOS!$B:$B,PRÉSTAMOS!G:G,"")=0,"",_xlfn.XLOOKUP(Clientes[[#This Row],[IDENTIFICACIÓN]],PRÉSTAMOS!$B:$B,PRÉSTAMOS!G:G,""))</f>
        <v/>
      </c>
      <c r="G22" t="str">
        <f>+IF(_xlfn.XLOOKUP(Clientes[[#This Row],[IDENTIFICACIÓN]],PRÉSTAMOS!$B:$B,PRÉSTAMOS!H:H,"")=0,"",_xlfn.XLOOKUP(Clientes[[#This Row],[IDENTIFICACIÓN]],PRÉSTAMOS!$B:$B,PRÉSTAMOS!H:H,""))</f>
        <v/>
      </c>
      <c r="H22">
        <f>+IF(_xlfn.XLOOKUP(Clientes[[#This Row],[IDENTIFICACIÓN]],PRÉSTAMOS!$B:$B,PRÉSTAMOS!I:I,"")=0,"",_xlfn.XLOOKUP(Clientes[[#This Row],[IDENTIFICACIÓN]],PRÉSTAMOS!$B:$B,PRÉSTAMOS!I:I,""))</f>
        <v>3006547881</v>
      </c>
      <c r="I22" t="str">
        <f>+IF(_xlfn.XLOOKUP(Clientes[[#This Row],[IDENTIFICACIÓN]],PRÉSTAMOS!$B:$B,PRÉSTAMOS!J:J,"")=0,"",_xlfn.XLOOKUP(Clientes[[#This Row],[IDENTIFICACIÓN]],PRÉSTAMOS!$B:$B,PRÉSTAMOS!J:J,""))</f>
        <v/>
      </c>
    </row>
    <row r="23" spans="1:9" x14ac:dyDescent="0.25">
      <c r="A23" t="str">
        <f>+_xlfn.XLOOKUP(Clientes[[#This Row],[IDENTIFICACIÓN]],PRÉSTAMOS!$B:$B,PRÉSTAMOS!A:A)</f>
        <v>CARLOS ARTURO CARDONA OCAMPO</v>
      </c>
      <c r="B23">
        <v>10240555</v>
      </c>
      <c r="C23" t="str">
        <f>+IF(_xlfn.XLOOKUP(Clientes[[#This Row],[IDENTIFICACIÓN]],PRÉSTAMOS!$B:$B,PRÉSTAMOS!C:C,"")=0,"",_xlfn.XLOOKUP(Clientes[[#This Row],[IDENTIFICACIÓN]],PRÉSTAMOS!$B:$B,PRÉSTAMOS!C:C,""))</f>
        <v>Manizales</v>
      </c>
      <c r="D23" t="str">
        <f>+IF(_xlfn.XLOOKUP(Clientes[[#This Row],[IDENTIFICACIÓN]],PRÉSTAMOS!$B:$B,PRÉSTAMOS!E:E,"")=0,"",_xlfn.XLOOKUP(Clientes[[#This Row],[IDENTIFICACIÓN]],PRÉSTAMOS!$B:$B,PRÉSTAMOS!E:E,""))</f>
        <v>Carrera 8 # 20-38</v>
      </c>
      <c r="E23" t="str">
        <f>+IF(_xlfn.XLOOKUP(Clientes[[#This Row],[IDENTIFICACIÓN]],PRÉSTAMOS!$B:$B,PRÉSTAMOS!F:F,"")=0,"",_xlfn.XLOOKUP(Clientes[[#This Row],[IDENTIFICACIÓN]],PRÉSTAMOS!$B:$B,PRÉSTAMOS!F:F,""))</f>
        <v/>
      </c>
      <c r="F23" t="str">
        <f>+IF(_xlfn.XLOOKUP(Clientes[[#This Row],[IDENTIFICACIÓN]],PRÉSTAMOS!$B:$B,PRÉSTAMOS!G:G,"")=0,"",_xlfn.XLOOKUP(Clientes[[#This Row],[IDENTIFICACIÓN]],PRÉSTAMOS!$B:$B,PRÉSTAMOS!G:G,""))</f>
        <v>Supía</v>
      </c>
      <c r="G23" t="str">
        <f>+IF(_xlfn.XLOOKUP(Clientes[[#This Row],[IDENTIFICACIÓN]],PRÉSTAMOS!$B:$B,PRÉSTAMOS!H:H,"")=0,"",_xlfn.XLOOKUP(Clientes[[#This Row],[IDENTIFICACIÓN]],PRÉSTAMOS!$B:$B,PRÉSTAMOS!H:H,""))</f>
        <v>Caldas</v>
      </c>
      <c r="H23">
        <f>+IF(_xlfn.XLOOKUP(Clientes[[#This Row],[IDENTIFICACIÓN]],PRÉSTAMOS!$B:$B,PRÉSTAMOS!I:I,"")=0,"",_xlfn.XLOOKUP(Clientes[[#This Row],[IDENTIFICACIÓN]],PRÉSTAMOS!$B:$B,PRÉSTAMOS!I:I,""))</f>
        <v>3137474756</v>
      </c>
      <c r="I23" t="str">
        <f>+IF(_xlfn.XLOOKUP(Clientes[[#This Row],[IDENTIFICACIÓN]],PRÉSTAMOS!$B:$B,PRÉSTAMOS!J:J,"")=0,"",_xlfn.XLOOKUP(Clientes[[#This Row],[IDENTIFICACIÓN]],PRÉSTAMOS!$B:$B,PRÉSTAMOS!J:J,""))</f>
        <v>acarloscardona@gmail.com</v>
      </c>
    </row>
    <row r="24" spans="1:9" x14ac:dyDescent="0.25">
      <c r="A24" t="str">
        <f>+_xlfn.XLOOKUP(Clientes[[#This Row],[IDENTIFICACIÓN]],PRÉSTAMOS!$B:$B,PRÉSTAMOS!A:A)</f>
        <v>JUAN DE JESÚS OSORIO RUIZ</v>
      </c>
      <c r="B24">
        <v>4509079</v>
      </c>
      <c r="C24" t="str">
        <f>+IF(_xlfn.XLOOKUP(Clientes[[#This Row],[IDENTIFICACIÓN]],PRÉSTAMOS!$B:$B,PRÉSTAMOS!C:C,"")=0,"",_xlfn.XLOOKUP(Clientes[[#This Row],[IDENTIFICACIÓN]],PRÉSTAMOS!$B:$B,PRÉSTAMOS!C:C,""))</f>
        <v>PEREIRA</v>
      </c>
      <c r="D24" t="str">
        <f>+IF(_xlfn.XLOOKUP(Clientes[[#This Row],[IDENTIFICACIÓN]],PRÉSTAMOS!$B:$B,PRÉSTAMOS!E:E,"")=0,"",_xlfn.XLOOKUP(Clientes[[#This Row],[IDENTIFICACIÓN]],PRÉSTAMOS!$B:$B,PRÉSTAMOS!E:E,""))</f>
        <v>Carrera 11 # 7A-E 18</v>
      </c>
      <c r="E24" t="str">
        <f>+IF(_xlfn.XLOOKUP(Clientes[[#This Row],[IDENTIFICACIÓN]],PRÉSTAMOS!$B:$B,PRÉSTAMOS!F:F,"")=0,"",_xlfn.XLOOKUP(Clientes[[#This Row],[IDENTIFICACIÓN]],PRÉSTAMOS!$B:$B,PRÉSTAMOS!F:F,""))</f>
        <v>B/Kennedy</v>
      </c>
      <c r="F24" t="str">
        <f>+IF(_xlfn.XLOOKUP(Clientes[[#This Row],[IDENTIFICACIÓN]],PRÉSTAMOS!$B:$B,PRÉSTAMOS!G:G,"")=0,"",_xlfn.XLOOKUP(Clientes[[#This Row],[IDENTIFICACIÓN]],PRÉSTAMOS!$B:$B,PRÉSTAMOS!G:G,""))</f>
        <v>Pereira</v>
      </c>
      <c r="G24" t="str">
        <f>+IF(_xlfn.XLOOKUP(Clientes[[#This Row],[IDENTIFICACIÓN]],PRÉSTAMOS!$B:$B,PRÉSTAMOS!H:H,"")=0,"",_xlfn.XLOOKUP(Clientes[[#This Row],[IDENTIFICACIÓN]],PRÉSTAMOS!$B:$B,PRÉSTAMOS!H:H,""))</f>
        <v>Risaralda</v>
      </c>
      <c r="H24">
        <f>+IF(_xlfn.XLOOKUP(Clientes[[#This Row],[IDENTIFICACIÓN]],PRÉSTAMOS!$B:$B,PRÉSTAMOS!I:I,"")=0,"",_xlfn.XLOOKUP(Clientes[[#This Row],[IDENTIFICACIÓN]],PRÉSTAMOS!$B:$B,PRÉSTAMOS!I:I,""))</f>
        <v>3153079491</v>
      </c>
      <c r="I24" t="str">
        <f>+IF(_xlfn.XLOOKUP(Clientes[[#This Row],[IDENTIFICACIÓN]],PRÉSTAMOS!$B:$B,PRÉSTAMOS!J:J,"")=0,"",_xlfn.XLOOKUP(Clientes[[#This Row],[IDENTIFICACIÓN]],PRÉSTAMOS!$B:$B,PRÉSTAMOS!J:J,""))</f>
        <v>juandejesusosorio127@gmail.com</v>
      </c>
    </row>
    <row r="25" spans="1:9" x14ac:dyDescent="0.25">
      <c r="A25" t="str">
        <f>+_xlfn.XLOOKUP(Clientes[[#This Row],[IDENTIFICACIÓN]],PRÉSTAMOS!$B:$B,PRÉSTAMOS!A:A)</f>
        <v>JORGE LEÓN NOREÑA MANRIQUE</v>
      </c>
      <c r="B25">
        <v>15957753</v>
      </c>
      <c r="C25" t="str">
        <f>+IF(_xlfn.XLOOKUP(Clientes[[#This Row],[IDENTIFICACIÓN]],PRÉSTAMOS!$B:$B,PRÉSTAMOS!C:C,"")=0,"",_xlfn.XLOOKUP(Clientes[[#This Row],[IDENTIFICACIÓN]],PRÉSTAMOS!$B:$B,PRÉSTAMOS!C:C,""))</f>
        <v>Salamina</v>
      </c>
      <c r="D25" t="str">
        <f>+IF(_xlfn.XLOOKUP(Clientes[[#This Row],[IDENTIFICACIÓN]],PRÉSTAMOS!$B:$B,PRÉSTAMOS!E:E,"")=0,"",_xlfn.XLOOKUP(Clientes[[#This Row],[IDENTIFICACIÓN]],PRÉSTAMOS!$B:$B,PRÉSTAMOS!E:E,""))</f>
        <v xml:space="preserve">Av. Simón Bolívar # 21-47 </v>
      </c>
      <c r="E25" t="str">
        <f>+IF(_xlfn.XLOOKUP(Clientes[[#This Row],[IDENTIFICACIÓN]],PRÉSTAMOS!$B:$B,PRÉSTAMOS!F:F,"")=0,"",_xlfn.XLOOKUP(Clientes[[#This Row],[IDENTIFICACIÓN]],PRÉSTAMOS!$B:$B,PRÉSTAMOS!F:F,""))</f>
        <v>B/Buenos Aires</v>
      </c>
      <c r="F25" t="str">
        <f>+IF(_xlfn.XLOOKUP(Clientes[[#This Row],[IDENTIFICACIÓN]],PRÉSTAMOS!$B:$B,PRÉSTAMOS!G:G,"")=0,"",_xlfn.XLOOKUP(Clientes[[#This Row],[IDENTIFICACIÓN]],PRÉSTAMOS!$B:$B,PRÉSTAMOS!G:G,""))</f>
        <v>Dosquebradas</v>
      </c>
      <c r="G25" t="str">
        <f>+IF(_xlfn.XLOOKUP(Clientes[[#This Row],[IDENTIFICACIÓN]],PRÉSTAMOS!$B:$B,PRÉSTAMOS!H:H,"")=0,"",_xlfn.XLOOKUP(Clientes[[#This Row],[IDENTIFICACIÓN]],PRÉSTAMOS!$B:$B,PRÉSTAMOS!H:H,""))</f>
        <v>Risaralda</v>
      </c>
      <c r="H25">
        <f>+IF(_xlfn.XLOOKUP(Clientes[[#This Row],[IDENTIFICACIÓN]],PRÉSTAMOS!$B:$B,PRÉSTAMOS!I:I,"")=0,"",_xlfn.XLOOKUP(Clientes[[#This Row],[IDENTIFICACIÓN]],PRÉSTAMOS!$B:$B,PRÉSTAMOS!I:I,""))</f>
        <v>3213163382</v>
      </c>
      <c r="I25" t="str">
        <f>+IF(_xlfn.XLOOKUP(Clientes[[#This Row],[IDENTIFICACIÓN]],PRÉSTAMOS!$B:$B,PRÉSTAMOS!J:J,"")=0,"",_xlfn.XLOOKUP(Clientes[[#This Row],[IDENTIFICACIÓN]],PRÉSTAMOS!$B:$B,PRÉSTAMOS!J:J,""))</f>
        <v>XXXXXXX@gmail.com</v>
      </c>
    </row>
    <row r="26" spans="1:9" x14ac:dyDescent="0.25">
      <c r="A26" t="str">
        <f>+_xlfn.XLOOKUP(Clientes[[#This Row],[IDENTIFICACIÓN]],PRÉSTAMOS!$B:$B,PRÉSTAMOS!A:A)</f>
        <v>LUIS FERNANDO MORALES VÉLEZ</v>
      </c>
      <c r="B26">
        <v>10122618</v>
      </c>
      <c r="C26" t="str">
        <f>+IF(_xlfn.XLOOKUP(Clientes[[#This Row],[IDENTIFICACIÓN]],PRÉSTAMOS!$B:$B,PRÉSTAMOS!C:C,"")=0,"",_xlfn.XLOOKUP(Clientes[[#This Row],[IDENTIFICACIÓN]],PRÉSTAMOS!$B:$B,PRÉSTAMOS!C:C,""))</f>
        <v>Pereira</v>
      </c>
      <c r="D26" t="str">
        <f>+IF(_xlfn.XLOOKUP(Clientes[[#This Row],[IDENTIFICACIÓN]],PRÉSTAMOS!$B:$B,PRÉSTAMOS!E:E,"")=0,"",_xlfn.XLOOKUP(Clientes[[#This Row],[IDENTIFICACIÓN]],PRÉSTAMOS!$B:$B,PRÉSTAMOS!E:E,""))</f>
        <v>Calle 23 # 19-01 Apartamento 301</v>
      </c>
      <c r="E26" t="str">
        <f>+IF(_xlfn.XLOOKUP(Clientes[[#This Row],[IDENTIFICACIÓN]],PRÉSTAMOS!$B:$B,PRÉSTAMOS!F:F,"")=0,"",_xlfn.XLOOKUP(Clientes[[#This Row],[IDENTIFICACIÓN]],PRÉSTAMOS!$B:$B,PRÉSTAMOS!F:F,""))</f>
        <v>B/La Pradera</v>
      </c>
      <c r="F26" t="str">
        <f>+IF(_xlfn.XLOOKUP(Clientes[[#This Row],[IDENTIFICACIÓN]],PRÉSTAMOS!$B:$B,PRÉSTAMOS!G:G,"")=0,"",_xlfn.XLOOKUP(Clientes[[#This Row],[IDENTIFICACIÓN]],PRÉSTAMOS!$B:$B,PRÉSTAMOS!G:G,""))</f>
        <v>Dosquebradas</v>
      </c>
      <c r="G26" t="str">
        <f>+IF(_xlfn.XLOOKUP(Clientes[[#This Row],[IDENTIFICACIÓN]],PRÉSTAMOS!$B:$B,PRÉSTAMOS!H:H,"")=0,"",_xlfn.XLOOKUP(Clientes[[#This Row],[IDENTIFICACIÓN]],PRÉSTAMOS!$B:$B,PRÉSTAMOS!H:H,""))</f>
        <v>Risaralda</v>
      </c>
      <c r="H26">
        <f>+IF(_xlfn.XLOOKUP(Clientes[[#This Row],[IDENTIFICACIÓN]],PRÉSTAMOS!$B:$B,PRÉSTAMOS!I:I,"")=0,"",_xlfn.XLOOKUP(Clientes[[#This Row],[IDENTIFICACIÓN]],PRÉSTAMOS!$B:$B,PRÉSTAMOS!I:I,""))</f>
        <v>3126876414</v>
      </c>
      <c r="I26" t="str">
        <f>+IF(_xlfn.XLOOKUP(Clientes[[#This Row],[IDENTIFICACIÓN]],PRÉSTAMOS!$B:$B,PRÉSTAMOS!J:J,"")=0,"",_xlfn.XLOOKUP(Clientes[[#This Row],[IDENTIFICACIÓN]],PRÉSTAMOS!$B:$B,PRÉSTAMOS!J:J,""))</f>
        <v>puertaomarantonio@gmail.com</v>
      </c>
    </row>
    <row r="27" spans="1:9" x14ac:dyDescent="0.25">
      <c r="A27" t="str">
        <f>+_xlfn.XLOOKUP(Clientes[[#This Row],[IDENTIFICACIÓN]],PRÉSTAMOS!$B:$B,PRÉSTAMOS!A:A)</f>
        <v>JOSÉ FERNANDO LÓPEZ VINASCO</v>
      </c>
      <c r="B27">
        <v>18501536</v>
      </c>
      <c r="C27" t="str">
        <f>+IF(_xlfn.XLOOKUP(Clientes[[#This Row],[IDENTIFICACIÓN]],PRÉSTAMOS!$B:$B,PRÉSTAMOS!C:C,"")=0,"",_xlfn.XLOOKUP(Clientes[[#This Row],[IDENTIFICACIÓN]],PRÉSTAMOS!$B:$B,PRÉSTAMOS!C:C,""))</f>
        <v>Dosquebradas</v>
      </c>
      <c r="D27" t="str">
        <f>+IF(_xlfn.XLOOKUP(Clientes[[#This Row],[IDENTIFICACIÓN]],PRÉSTAMOS!$B:$B,PRÉSTAMOS!E:E,"")=0,"",_xlfn.XLOOKUP(Clientes[[#This Row],[IDENTIFICACIÓN]],PRÉSTAMOS!$B:$B,PRÉSTAMOS!E:E,""))</f>
        <v>Manzana 18 Casa 2</v>
      </c>
      <c r="E27" t="str">
        <f>+IF(_xlfn.XLOOKUP(Clientes[[#This Row],[IDENTIFICACIÓN]],PRÉSTAMOS!$B:$B,PRÉSTAMOS!F:F,"")=0,"",_xlfn.XLOOKUP(Clientes[[#This Row],[IDENTIFICACIÓN]],PRÉSTAMOS!$B:$B,PRÉSTAMOS!F:F,""))</f>
        <v>B/Galán</v>
      </c>
      <c r="F27" t="str">
        <f>+IF(_xlfn.XLOOKUP(Clientes[[#This Row],[IDENTIFICACIÓN]],PRÉSTAMOS!$B:$B,PRÉSTAMOS!G:G,"")=0,"",_xlfn.XLOOKUP(Clientes[[#This Row],[IDENTIFICACIÓN]],PRÉSTAMOS!$B:$B,PRÉSTAMOS!G:G,""))</f>
        <v>Pereira</v>
      </c>
      <c r="G27" t="str">
        <f>+IF(_xlfn.XLOOKUP(Clientes[[#This Row],[IDENTIFICACIÓN]],PRÉSTAMOS!$B:$B,PRÉSTAMOS!H:H,"")=0,"",_xlfn.XLOOKUP(Clientes[[#This Row],[IDENTIFICACIÓN]],PRÉSTAMOS!$B:$B,PRÉSTAMOS!H:H,""))</f>
        <v>Risaralda</v>
      </c>
      <c r="H27">
        <f>+IF(_xlfn.XLOOKUP(Clientes[[#This Row],[IDENTIFICACIÓN]],PRÉSTAMOS!$B:$B,PRÉSTAMOS!I:I,"")=0,"",_xlfn.XLOOKUP(Clientes[[#This Row],[IDENTIFICACIÓN]],PRÉSTAMOS!$B:$B,PRÉSTAMOS!I:I,""))</f>
        <v>3235274153</v>
      </c>
      <c r="I27" t="str">
        <f>+IF(_xlfn.XLOOKUP(Clientes[[#This Row],[IDENTIFICACIÓN]],PRÉSTAMOS!$B:$B,PRÉSTAMOS!J:J,"")=0,"",_xlfn.XLOOKUP(Clientes[[#This Row],[IDENTIFICACIÓN]],PRÉSTAMOS!$B:$B,PRÉSTAMOS!J:J,""))</f>
        <v>jflv536@gmail.com</v>
      </c>
    </row>
    <row r="28" spans="1:9" x14ac:dyDescent="0.25">
      <c r="A28" t="str">
        <f>+_xlfn.XLOOKUP(Clientes[[#This Row],[IDENTIFICACIÓN]],PRÉSTAMOS!$B:$B,PRÉSTAMOS!A:A)</f>
        <v>JOSÉ CARLOS BRITO BRITO</v>
      </c>
      <c r="B28">
        <v>84009805</v>
      </c>
      <c r="C28" t="str">
        <f>+IF(_xlfn.XLOOKUP(Clientes[[#This Row],[IDENTIFICACIÓN]],PRÉSTAMOS!$B:$B,PRÉSTAMOS!C:C,"")=0,"",_xlfn.XLOOKUP(Clientes[[#This Row],[IDENTIFICACIÓN]],PRÉSTAMOS!$B:$B,PRÉSTAMOS!C:C,""))</f>
        <v>Barrancas</v>
      </c>
      <c r="D28" t="str">
        <f>+IF(_xlfn.XLOOKUP(Clientes[[#This Row],[IDENTIFICACIÓN]],PRÉSTAMOS!$B:$B,PRÉSTAMOS!E:E,"")=0,"",_xlfn.XLOOKUP(Clientes[[#This Row],[IDENTIFICACIÓN]],PRÉSTAMOS!$B:$B,PRÉSTAMOS!E:E,""))</f>
        <v>Carrera 5 # 16-62</v>
      </c>
      <c r="E28" t="str">
        <f>+IF(_xlfn.XLOOKUP(Clientes[[#This Row],[IDENTIFICACIÓN]],PRÉSTAMOS!$B:$B,PRÉSTAMOS!F:F,"")=0,"",_xlfn.XLOOKUP(Clientes[[#This Row],[IDENTIFICACIÓN]],PRÉSTAMOS!$B:$B,PRÉSTAMOS!F:F,""))</f>
        <v>B/Pringamozal</v>
      </c>
      <c r="F28" t="str">
        <f>+IF(_xlfn.XLOOKUP(Clientes[[#This Row],[IDENTIFICACIÓN]],PRÉSTAMOS!$B:$B,PRÉSTAMOS!G:G,"")=0,"",_xlfn.XLOOKUP(Clientes[[#This Row],[IDENTIFICACIÓN]],PRÉSTAMOS!$B:$B,PRÉSTAMOS!G:G,""))</f>
        <v>Barrancas</v>
      </c>
      <c r="G28" t="str">
        <f>+IF(_xlfn.XLOOKUP(Clientes[[#This Row],[IDENTIFICACIÓN]],PRÉSTAMOS!$B:$B,PRÉSTAMOS!H:H,"")=0,"",_xlfn.XLOOKUP(Clientes[[#This Row],[IDENTIFICACIÓN]],PRÉSTAMOS!$B:$B,PRÉSTAMOS!H:H,""))</f>
        <v>La Guajira</v>
      </c>
      <c r="H28">
        <f>+IF(_xlfn.XLOOKUP(Clientes[[#This Row],[IDENTIFICACIÓN]],PRÉSTAMOS!$B:$B,PRÉSTAMOS!I:I,"")=0,"",_xlfn.XLOOKUP(Clientes[[#This Row],[IDENTIFICACIÓN]],PRÉSTAMOS!$B:$B,PRÉSTAMOS!I:I,""))</f>
        <v>3104609448</v>
      </c>
      <c r="I28" t="str">
        <f>+IF(_xlfn.XLOOKUP(Clientes[[#This Row],[IDENTIFICACIÓN]],PRÉSTAMOS!$B:$B,PRÉSTAMOS!J:J,"")=0,"",_xlfn.XLOOKUP(Clientes[[#This Row],[IDENTIFICACIÓN]],PRÉSTAMOS!$B:$B,PRÉSTAMOS!J:J,""))</f>
        <v>carlvidal524@gmail.com</v>
      </c>
    </row>
    <row r="29" spans="1:9" x14ac:dyDescent="0.25">
      <c r="A29" t="str">
        <f>+_xlfn.XLOOKUP(Clientes[[#This Row],[IDENTIFICACIÓN]],PRÉSTAMOS!$B:$B,PRÉSTAMOS!A:A)</f>
        <v>HECTOR FABIO LOPEZ AGUIRRE</v>
      </c>
      <c r="B29">
        <v>10106423</v>
      </c>
      <c r="C29" t="str">
        <f>+IF(_xlfn.XLOOKUP(Clientes[[#This Row],[IDENTIFICACIÓN]],PRÉSTAMOS!$B:$B,PRÉSTAMOS!C:C,"")=0,"",_xlfn.XLOOKUP(Clientes[[#This Row],[IDENTIFICACIÓN]],PRÉSTAMOS!$B:$B,PRÉSTAMOS!C:C,""))</f>
        <v>Pereira</v>
      </c>
      <c r="D29" t="str">
        <f>+IF(_xlfn.XLOOKUP(Clientes[[#This Row],[IDENTIFICACIÓN]],PRÉSTAMOS!$B:$B,PRÉSTAMOS!E:E,"")=0,"",_xlfn.XLOOKUP(Clientes[[#This Row],[IDENTIFICACIÓN]],PRÉSTAMOS!$B:$B,PRÉSTAMOS!E:E,""))</f>
        <v>Carrera 6 # 34-68</v>
      </c>
      <c r="E29" t="str">
        <f>+IF(_xlfn.XLOOKUP(Clientes[[#This Row],[IDENTIFICACIÓN]],PRÉSTAMOS!$B:$B,PRÉSTAMOS!F:F,"")=0,"",_xlfn.XLOOKUP(Clientes[[#This Row],[IDENTIFICACIÓN]],PRÉSTAMOS!$B:$B,PRÉSTAMOS!F:F,""))</f>
        <v>Cañarte</v>
      </c>
      <c r="F29" t="str">
        <f>+IF(_xlfn.XLOOKUP(Clientes[[#This Row],[IDENTIFICACIÓN]],PRÉSTAMOS!$B:$B,PRÉSTAMOS!G:G,"")=0,"",_xlfn.XLOOKUP(Clientes[[#This Row],[IDENTIFICACIÓN]],PRÉSTAMOS!$B:$B,PRÉSTAMOS!G:G,""))</f>
        <v>Pereira</v>
      </c>
      <c r="G29" t="str">
        <f>+IF(_xlfn.XLOOKUP(Clientes[[#This Row],[IDENTIFICACIÓN]],PRÉSTAMOS!$B:$B,PRÉSTAMOS!H:H,"")=0,"",_xlfn.XLOOKUP(Clientes[[#This Row],[IDENTIFICACIÓN]],PRÉSTAMOS!$B:$B,PRÉSTAMOS!H:H,""))</f>
        <v>Risaralda</v>
      </c>
      <c r="H29">
        <f>+IF(_xlfn.XLOOKUP(Clientes[[#This Row],[IDENTIFICACIÓN]],PRÉSTAMOS!$B:$B,PRÉSTAMOS!I:I,"")=0,"",_xlfn.XLOOKUP(Clientes[[#This Row],[IDENTIFICACIÓN]],PRÉSTAMOS!$B:$B,PRÉSTAMOS!I:I,""))</f>
        <v>3108930471</v>
      </c>
      <c r="I29" t="str">
        <f>+IF(_xlfn.XLOOKUP(Clientes[[#This Row],[IDENTIFICACIÓN]],PRÉSTAMOS!$B:$B,PRÉSTAMOS!J:J,"")=0,"",_xlfn.XLOOKUP(Clientes[[#This Row],[IDENTIFICACIÓN]],PRÉSTAMOS!$B:$B,PRÉSTAMOS!J:J,""))</f>
        <v>hector1023lopez1972@hotmail.com</v>
      </c>
    </row>
    <row r="30" spans="1:9" x14ac:dyDescent="0.25">
      <c r="A30" t="str">
        <f>+_xlfn.XLOOKUP(Clientes[[#This Row],[IDENTIFICACIÓN]],PRÉSTAMOS!$B:$B,PRÉSTAMOS!A:A)</f>
        <v>FLAVIO FERNANDO ESPINOSA ARDILA</v>
      </c>
      <c r="B30">
        <v>10078414</v>
      </c>
      <c r="C30" t="str">
        <f>+IF(_xlfn.XLOOKUP(Clientes[[#This Row],[IDENTIFICACIÓN]],PRÉSTAMOS!$B:$B,PRÉSTAMOS!C:C,"")=0,"",_xlfn.XLOOKUP(Clientes[[#This Row],[IDENTIFICACIÓN]],PRÉSTAMOS!$B:$B,PRÉSTAMOS!C:C,""))</f>
        <v>Pereira</v>
      </c>
      <c r="D30" t="str">
        <f>+IF(_xlfn.XLOOKUP(Clientes[[#This Row],[IDENTIFICACIÓN]],PRÉSTAMOS!$B:$B,PRÉSTAMOS!E:E,"")=0,"",_xlfn.XLOOKUP(Clientes[[#This Row],[IDENTIFICACIÓN]],PRÉSTAMOS!$B:$B,PRÉSTAMOS!E:E,""))</f>
        <v>Manzana 5 Casa 29</v>
      </c>
      <c r="E30" t="str">
        <f>+IF(_xlfn.XLOOKUP(Clientes[[#This Row],[IDENTIFICACIÓN]],PRÉSTAMOS!$B:$B,PRÉSTAMOS!F:F,"")=0,"",_xlfn.XLOOKUP(Clientes[[#This Row],[IDENTIFICACIÓN]],PRÉSTAMOS!$B:$B,PRÉSTAMOS!F:F,""))</f>
        <v>B/Hacienda Cuba</v>
      </c>
      <c r="F30" t="str">
        <f>+IF(_xlfn.XLOOKUP(Clientes[[#This Row],[IDENTIFICACIÓN]],PRÉSTAMOS!$B:$B,PRÉSTAMOS!G:G,"")=0,"",_xlfn.XLOOKUP(Clientes[[#This Row],[IDENTIFICACIÓN]],PRÉSTAMOS!$B:$B,PRÉSTAMOS!G:G,""))</f>
        <v>Pereira</v>
      </c>
      <c r="G30" t="str">
        <f>+IF(_xlfn.XLOOKUP(Clientes[[#This Row],[IDENTIFICACIÓN]],PRÉSTAMOS!$B:$B,PRÉSTAMOS!H:H,"")=0,"",_xlfn.XLOOKUP(Clientes[[#This Row],[IDENTIFICACIÓN]],PRÉSTAMOS!$B:$B,PRÉSTAMOS!H:H,""))</f>
        <v>Risaralda</v>
      </c>
      <c r="H30">
        <f>+IF(_xlfn.XLOOKUP(Clientes[[#This Row],[IDENTIFICACIÓN]],PRÉSTAMOS!$B:$B,PRÉSTAMOS!I:I,"")=0,"",_xlfn.XLOOKUP(Clientes[[#This Row],[IDENTIFICACIÓN]],PRÉSTAMOS!$B:$B,PRÉSTAMOS!I:I,""))</f>
        <v>3147799367</v>
      </c>
      <c r="I30" t="str">
        <f>+IF(_xlfn.XLOOKUP(Clientes[[#This Row],[IDENTIFICACIÓN]],PRÉSTAMOS!$B:$B,PRÉSTAMOS!J:J,"")=0,"",_xlfn.XLOOKUP(Clientes[[#This Row],[IDENTIFICACIÓN]],PRÉSTAMOS!$B:$B,PRÉSTAMOS!J:J,""))</f>
        <v/>
      </c>
    </row>
    <row r="31" spans="1:9" x14ac:dyDescent="0.25">
      <c r="A31" t="str">
        <f>+_xlfn.XLOOKUP(Clientes[[#This Row],[IDENTIFICACIÓN]],PRÉSTAMOS!$B:$B,PRÉSTAMOS!A:A)</f>
        <v>MERARDO GARCÍA RAMÍREZ</v>
      </c>
      <c r="B31">
        <v>5756175</v>
      </c>
      <c r="C31" t="str">
        <f>+IF(_xlfn.XLOOKUP(Clientes[[#This Row],[IDENTIFICACIÓN]],PRÉSTAMOS!$B:$B,PRÉSTAMOS!C:C,"")=0,"",_xlfn.XLOOKUP(Clientes[[#This Row],[IDENTIFICACIÓN]],PRÉSTAMOS!$B:$B,PRÉSTAMOS!C:C,""))</f>
        <v>San Vicente de Chucurí</v>
      </c>
      <c r="D31" t="str">
        <f>+IF(_xlfn.XLOOKUP(Clientes[[#This Row],[IDENTIFICACIÓN]],PRÉSTAMOS!$B:$B,PRÉSTAMOS!E:E,"")=0,"",_xlfn.XLOOKUP(Clientes[[#This Row],[IDENTIFICACIÓN]],PRÉSTAMOS!$B:$B,PRÉSTAMOS!E:E,""))</f>
        <v>Calle 12 B # 4B-10</v>
      </c>
      <c r="E31" t="str">
        <f>+IF(_xlfn.XLOOKUP(Clientes[[#This Row],[IDENTIFICACIÓN]],PRÉSTAMOS!$B:$B,PRÉSTAMOS!F:F,"")=0,"",_xlfn.XLOOKUP(Clientes[[#This Row],[IDENTIFICACIÓN]],PRÉSTAMOS!$B:$B,PRÉSTAMOS!F:F,""))</f>
        <v>B/Libertad</v>
      </c>
      <c r="F31" t="str">
        <f>+IF(_xlfn.XLOOKUP(Clientes[[#This Row],[IDENTIFICACIÓN]],PRÉSTAMOS!$B:$B,PRÉSTAMOS!G:G,"")=0,"",_xlfn.XLOOKUP(Clientes[[#This Row],[IDENTIFICACIÓN]],PRÉSTAMOS!$B:$B,PRÉSTAMOS!G:G,""))</f>
        <v>Pereira</v>
      </c>
      <c r="G31" t="str">
        <f>+IF(_xlfn.XLOOKUP(Clientes[[#This Row],[IDENTIFICACIÓN]],PRÉSTAMOS!$B:$B,PRÉSTAMOS!H:H,"")=0,"",_xlfn.XLOOKUP(Clientes[[#This Row],[IDENTIFICACIÓN]],PRÉSTAMOS!$B:$B,PRÉSTAMOS!H:H,""))</f>
        <v>Risaralda</v>
      </c>
      <c r="H31">
        <f>+IF(_xlfn.XLOOKUP(Clientes[[#This Row],[IDENTIFICACIÓN]],PRÉSTAMOS!$B:$B,PRÉSTAMOS!I:I,"")=0,"",_xlfn.XLOOKUP(Clientes[[#This Row],[IDENTIFICACIÓN]],PRÉSTAMOS!$B:$B,PRÉSTAMOS!I:I,""))</f>
        <v>3226012060</v>
      </c>
      <c r="I31" t="str">
        <f>+IF(_xlfn.XLOOKUP(Clientes[[#This Row],[IDENTIFICACIÓN]],PRÉSTAMOS!$B:$B,PRÉSTAMOS!J:J,"")=0,"",_xlfn.XLOOKUP(Clientes[[#This Row],[IDENTIFICACIÓN]],PRÉSTAMOS!$B:$B,PRÉSTAMOS!J:J,""))</f>
        <v>merardo.garcia175@casur.gov.co</v>
      </c>
    </row>
    <row r="32" spans="1:9" x14ac:dyDescent="0.25">
      <c r="A32" t="str">
        <f>+_xlfn.XLOOKUP(Clientes[[#This Row],[IDENTIFICACIÓN]],PRÉSTAMOS!$B:$B,PRÉSTAMOS!A:A)</f>
        <v>JOSÉ EDIER SÁNCHEZ</v>
      </c>
      <c r="B32">
        <v>7521602</v>
      </c>
      <c r="C32" t="str">
        <f>+IF(_xlfn.XLOOKUP(Clientes[[#This Row],[IDENTIFICACIÓN]],PRÉSTAMOS!$B:$B,PRÉSTAMOS!C:C,"")=0,"",_xlfn.XLOOKUP(Clientes[[#This Row],[IDENTIFICACIÓN]],PRÉSTAMOS!$B:$B,PRÉSTAMOS!C:C,""))</f>
        <v>Armenia</v>
      </c>
      <c r="D32" t="str">
        <f>+IF(_xlfn.XLOOKUP(Clientes[[#This Row],[IDENTIFICACIÓN]],PRÉSTAMOS!$B:$B,PRÉSTAMOS!E:E,"")=0,"",_xlfn.XLOOKUP(Clientes[[#This Row],[IDENTIFICACIÓN]],PRÉSTAMOS!$B:$B,PRÉSTAMOS!E:E,""))</f>
        <v>Calle 18 # 29-08</v>
      </c>
      <c r="E32" t="str">
        <f>+IF(_xlfn.XLOOKUP(Clientes[[#This Row],[IDENTIFICACIÓN]],PRÉSTAMOS!$B:$B,PRÉSTAMOS!F:F,"")=0,"",_xlfn.XLOOKUP(Clientes[[#This Row],[IDENTIFICACIÓN]],PRÉSTAMOS!$B:$B,PRÉSTAMOS!F:F,""))</f>
        <v>B/San Luis</v>
      </c>
      <c r="F32" t="str">
        <f>+IF(_xlfn.XLOOKUP(Clientes[[#This Row],[IDENTIFICACIÓN]],PRÉSTAMOS!$B:$B,PRÉSTAMOS!G:G,"")=0,"",_xlfn.XLOOKUP(Clientes[[#This Row],[IDENTIFICACIÓN]],PRÉSTAMOS!$B:$B,PRÉSTAMOS!G:G,""))</f>
        <v>Pereira</v>
      </c>
      <c r="G32" t="str">
        <f>+IF(_xlfn.XLOOKUP(Clientes[[#This Row],[IDENTIFICACIÓN]],PRÉSTAMOS!$B:$B,PRÉSTAMOS!H:H,"")=0,"",_xlfn.XLOOKUP(Clientes[[#This Row],[IDENTIFICACIÓN]],PRÉSTAMOS!$B:$B,PRÉSTAMOS!H:H,""))</f>
        <v>Risaralda</v>
      </c>
      <c r="H32">
        <f>+IF(_xlfn.XLOOKUP(Clientes[[#This Row],[IDENTIFICACIÓN]],PRÉSTAMOS!$B:$B,PRÉSTAMOS!I:I,"")=0,"",_xlfn.XLOOKUP(Clientes[[#This Row],[IDENTIFICACIÓN]],PRÉSTAMOS!$B:$B,PRÉSTAMOS!I:I,""))</f>
        <v>3206263924</v>
      </c>
      <c r="I32" t="str">
        <f>+IF(_xlfn.XLOOKUP(Clientes[[#This Row],[IDENTIFICACIÓN]],PRÉSTAMOS!$B:$B,PRÉSTAMOS!J:J,"")=0,"",_xlfn.XLOOKUP(Clientes[[#This Row],[IDENTIFICACIÓN]],PRÉSTAMOS!$B:$B,PRÉSTAMOS!J:J,""))</f>
        <v>jose.sanchez1602@casur.gov.co</v>
      </c>
    </row>
    <row r="33" spans="1:9" x14ac:dyDescent="0.25">
      <c r="A33" t="str">
        <f>+_xlfn.XLOOKUP(Clientes[[#This Row],[IDENTIFICACIÓN]],PRÉSTAMOS!$B:$B,PRÉSTAMOS!A:A)</f>
        <v>JONATHAN ALEJANDRO OSORIO LINARES</v>
      </c>
      <c r="B33">
        <v>1088353324</v>
      </c>
      <c r="C33" t="str">
        <f>+IF(_xlfn.XLOOKUP(Clientes[[#This Row],[IDENTIFICACIÓN]],PRÉSTAMOS!$B:$B,PRÉSTAMOS!C:C,"")=0,"",_xlfn.XLOOKUP(Clientes[[#This Row],[IDENTIFICACIÓN]],PRÉSTAMOS!$B:$B,PRÉSTAMOS!C:C,""))</f>
        <v>Pereira</v>
      </c>
      <c r="D33" t="str">
        <f>+IF(_xlfn.XLOOKUP(Clientes[[#This Row],[IDENTIFICACIÓN]],PRÉSTAMOS!$B:$B,PRÉSTAMOS!E:E,"")=0,"",_xlfn.XLOOKUP(Clientes[[#This Row],[IDENTIFICACIÓN]],PRÉSTAMOS!$B:$B,PRÉSTAMOS!E:E,""))</f>
        <v>Manzana 9 Casa 12</v>
      </c>
      <c r="E33" t="str">
        <f>+IF(_xlfn.XLOOKUP(Clientes[[#This Row],[IDENTIFICACIÓN]],PRÉSTAMOS!$B:$B,PRÉSTAMOS!F:F,"")=0,"",_xlfn.XLOOKUP(Clientes[[#This Row],[IDENTIFICACIÓN]],PRÉSTAMOS!$B:$B,PRÉSTAMOS!F:F,""))</f>
        <v>B/Gilberto Peláez</v>
      </c>
      <c r="F33" t="str">
        <f>+IF(_xlfn.XLOOKUP(Clientes[[#This Row],[IDENTIFICACIÓN]],PRÉSTAMOS!$B:$B,PRÉSTAMOS!G:G,"")=0,"",_xlfn.XLOOKUP(Clientes[[#This Row],[IDENTIFICACIÓN]],PRÉSTAMOS!$B:$B,PRÉSTAMOS!G:G,""))</f>
        <v>Pereira</v>
      </c>
      <c r="G33" t="str">
        <f>+IF(_xlfn.XLOOKUP(Clientes[[#This Row],[IDENTIFICACIÓN]],PRÉSTAMOS!$B:$B,PRÉSTAMOS!H:H,"")=0,"",_xlfn.XLOOKUP(Clientes[[#This Row],[IDENTIFICACIÓN]],PRÉSTAMOS!$B:$B,PRÉSTAMOS!H:H,""))</f>
        <v>Risaralda</v>
      </c>
      <c r="H33">
        <f>+IF(_xlfn.XLOOKUP(Clientes[[#This Row],[IDENTIFICACIÓN]],PRÉSTAMOS!$B:$B,PRÉSTAMOS!I:I,"")=0,"",_xlfn.XLOOKUP(Clientes[[#This Row],[IDENTIFICACIÓN]],PRÉSTAMOS!$B:$B,PRÉSTAMOS!I:I,""))</f>
        <v>3145587208</v>
      </c>
      <c r="I33" t="str">
        <f>+IF(_xlfn.XLOOKUP(Clientes[[#This Row],[IDENTIFICACIÓN]],PRÉSTAMOS!$B:$B,PRÉSTAMOS!J:J,"")=0,"",_xlfn.XLOOKUP(Clientes[[#This Row],[IDENTIFICACIÓN]],PRÉSTAMOS!$B:$B,PRÉSTAMOS!J:J,""))</f>
        <v>joalejo.linaso@gmail.com</v>
      </c>
    </row>
    <row r="34" spans="1:9" x14ac:dyDescent="0.25">
      <c r="A34" t="str">
        <f>+_xlfn.XLOOKUP(Clientes[[#This Row],[IDENTIFICACIÓN]],PRÉSTAMOS!$B:$B,PRÉSTAMOS!A:A)</f>
        <v>UVER MUSSE CHILO</v>
      </c>
      <c r="B34">
        <v>4730425</v>
      </c>
      <c r="C34" t="str">
        <f>+IF(_xlfn.XLOOKUP(Clientes[[#This Row],[IDENTIFICACIÓN]],PRÉSTAMOS!$B:$B,PRÉSTAMOS!C:C,"")=0,"",_xlfn.XLOOKUP(Clientes[[#This Row],[IDENTIFICACIÓN]],PRÉSTAMOS!$B:$B,PRÉSTAMOS!C:C,""))</f>
        <v>Belalcázar</v>
      </c>
      <c r="D34" t="str">
        <f>+IF(_xlfn.XLOOKUP(Clientes[[#This Row],[IDENTIFICACIÓN]],PRÉSTAMOS!$B:$B,PRÉSTAMOS!E:E,"")=0,"",_xlfn.XLOOKUP(Clientes[[#This Row],[IDENTIFICACIÓN]],PRÉSTAMOS!$B:$B,PRÉSTAMOS!E:E,""))</f>
        <v>Manzana 16 Casa 21 Sector E</v>
      </c>
      <c r="E34" t="str">
        <f>+IF(_xlfn.XLOOKUP(Clientes[[#This Row],[IDENTIFICACIÓN]],PRÉSTAMOS!$B:$B,PRÉSTAMOS!F:F,"")=0,"",_xlfn.XLOOKUP(Clientes[[#This Row],[IDENTIFICACIÓN]],PRÉSTAMOS!$B:$B,PRÉSTAMOS!F:F,""))</f>
        <v>B/Parque Industrial</v>
      </c>
      <c r="F34" t="str">
        <f>+IF(_xlfn.XLOOKUP(Clientes[[#This Row],[IDENTIFICACIÓN]],PRÉSTAMOS!$B:$B,PRÉSTAMOS!G:G,"")=0,"",_xlfn.XLOOKUP(Clientes[[#This Row],[IDENTIFICACIÓN]],PRÉSTAMOS!$B:$B,PRÉSTAMOS!G:G,""))</f>
        <v>Pereira</v>
      </c>
      <c r="G34" t="str">
        <f>+IF(_xlfn.XLOOKUP(Clientes[[#This Row],[IDENTIFICACIÓN]],PRÉSTAMOS!$B:$B,PRÉSTAMOS!H:H,"")=0,"",_xlfn.XLOOKUP(Clientes[[#This Row],[IDENTIFICACIÓN]],PRÉSTAMOS!$B:$B,PRÉSTAMOS!H:H,""))</f>
        <v>Risaralda</v>
      </c>
      <c r="H34">
        <f>+IF(_xlfn.XLOOKUP(Clientes[[#This Row],[IDENTIFICACIÓN]],PRÉSTAMOS!$B:$B,PRÉSTAMOS!I:I,"")=0,"",_xlfn.XLOOKUP(Clientes[[#This Row],[IDENTIFICACIÓN]],PRÉSTAMOS!$B:$B,PRÉSTAMOS!I:I,""))</f>
        <v>3224075993</v>
      </c>
      <c r="I34" t="str">
        <f>+IF(_xlfn.XLOOKUP(Clientes[[#This Row],[IDENTIFICACIÓN]],PRÉSTAMOS!$B:$B,PRÉSTAMOS!J:J,"")=0,"",_xlfn.XLOOKUP(Clientes[[#This Row],[IDENTIFICACIÓN]],PRÉSTAMOS!$B:$B,PRÉSTAMOS!J:J,""))</f>
        <v>uvermusse40@gmail.com</v>
      </c>
    </row>
    <row r="35" spans="1:9" x14ac:dyDescent="0.25">
      <c r="A35" t="str">
        <f>+_xlfn.XLOOKUP(Clientes[[#This Row],[IDENTIFICACIÓN]],PRÉSTAMOS!$B:$B,PRÉSTAMOS!A:A)</f>
        <v>LUZ DARI DE LOS DOLORES ARENAS DE PATIÑO</v>
      </c>
      <c r="B35">
        <v>22196486</v>
      </c>
      <c r="C35" t="str">
        <f>+IF(_xlfn.XLOOKUP(Clientes[[#This Row],[IDENTIFICACIÓN]],PRÉSTAMOS!$B:$B,PRÉSTAMOS!C:C,"")=0,"",_xlfn.XLOOKUP(Clientes[[#This Row],[IDENTIFICACIÓN]],PRÉSTAMOS!$B:$B,PRÉSTAMOS!C:C,""))</f>
        <v>Valparaiso</v>
      </c>
      <c r="D35" t="str">
        <f>+IF(_xlfn.XLOOKUP(Clientes[[#This Row],[IDENTIFICACIÓN]],PRÉSTAMOS!$B:$B,PRÉSTAMOS!E:E,"")=0,"",_xlfn.XLOOKUP(Clientes[[#This Row],[IDENTIFICACIÓN]],PRÉSTAMOS!$B:$B,PRÉSTAMOS!E:E,""))</f>
        <v>Manzana 2 Casa 5 Sector E</v>
      </c>
      <c r="E35" t="str">
        <f>+IF(_xlfn.XLOOKUP(Clientes[[#This Row],[IDENTIFICACIÓN]],PRÉSTAMOS!$B:$B,PRÉSTAMOS!F:F,"")=0,"",_xlfn.XLOOKUP(Clientes[[#This Row],[IDENTIFICACIÓN]],PRÉSTAMOS!$B:$B,PRÉSTAMOS!F:F,""))</f>
        <v>B/Parque Industrial</v>
      </c>
      <c r="F35" t="str">
        <f>+IF(_xlfn.XLOOKUP(Clientes[[#This Row],[IDENTIFICACIÓN]],PRÉSTAMOS!$B:$B,PRÉSTAMOS!G:G,"")=0,"",_xlfn.XLOOKUP(Clientes[[#This Row],[IDENTIFICACIÓN]],PRÉSTAMOS!$B:$B,PRÉSTAMOS!G:G,""))</f>
        <v>Pereira</v>
      </c>
      <c r="G35" t="str">
        <f>+IF(_xlfn.XLOOKUP(Clientes[[#This Row],[IDENTIFICACIÓN]],PRÉSTAMOS!$B:$B,PRÉSTAMOS!H:H,"")=0,"",_xlfn.XLOOKUP(Clientes[[#This Row],[IDENTIFICACIÓN]],PRÉSTAMOS!$B:$B,PRÉSTAMOS!H:H,""))</f>
        <v>Risaralda</v>
      </c>
      <c r="H35">
        <f>+IF(_xlfn.XLOOKUP(Clientes[[#This Row],[IDENTIFICACIÓN]],PRÉSTAMOS!$B:$B,PRÉSTAMOS!I:I,"")=0,"",_xlfn.XLOOKUP(Clientes[[#This Row],[IDENTIFICACIÓN]],PRÉSTAMOS!$B:$B,PRÉSTAMOS!I:I,""))</f>
        <v>3217631671</v>
      </c>
      <c r="I35" t="str">
        <f>+IF(_xlfn.XLOOKUP(Clientes[[#This Row],[IDENTIFICACIÓN]],PRÉSTAMOS!$B:$B,PRÉSTAMOS!J:J,"")=0,"",_xlfn.XLOOKUP(Clientes[[#This Row],[IDENTIFICACIÓN]],PRÉSTAMOS!$B:$B,PRÉSTAMOS!J:J,""))</f>
        <v>arenasluzdary60@gmail.com</v>
      </c>
    </row>
    <row r="36" spans="1:9" x14ac:dyDescent="0.25">
      <c r="A36" t="str">
        <f>+_xlfn.XLOOKUP(Clientes[[#This Row],[IDENTIFICACIÓN]],PRÉSTAMOS!$B:$B,PRÉSTAMOS!A:A)</f>
        <v>REINALDO GIL GALLEGO</v>
      </c>
      <c r="B36">
        <v>6285978</v>
      </c>
      <c r="C36" t="str">
        <f>+IF(_xlfn.XLOOKUP(Clientes[[#This Row],[IDENTIFICACIÓN]],PRÉSTAMOS!$B:$B,PRÉSTAMOS!C:C,"")=0,"",_xlfn.XLOOKUP(Clientes[[#This Row],[IDENTIFICACIÓN]],PRÉSTAMOS!$B:$B,PRÉSTAMOS!C:C,""))</f>
        <v>Zarzal</v>
      </c>
      <c r="D36" t="str">
        <f>+IF(_xlfn.XLOOKUP(Clientes[[#This Row],[IDENTIFICACIÓN]],PRÉSTAMOS!$B:$B,PRÉSTAMOS!E:E,"")=0,"",_xlfn.XLOOKUP(Clientes[[#This Row],[IDENTIFICACIÓN]],PRÉSTAMOS!$B:$B,PRÉSTAMOS!E:E,""))</f>
        <v>Calle 4 # 9A-76</v>
      </c>
      <c r="E36" t="str">
        <f>+IF(_xlfn.XLOOKUP(Clientes[[#This Row],[IDENTIFICACIÓN]],PRÉSTAMOS!$B:$B,PRÉSTAMOS!F:F,"")=0,"",_xlfn.XLOOKUP(Clientes[[#This Row],[IDENTIFICACIÓN]],PRÉSTAMOS!$B:$B,PRÉSTAMOS!F:F,""))</f>
        <v>B/Los Lagos</v>
      </c>
      <c r="F36" t="str">
        <f>+IF(_xlfn.XLOOKUP(Clientes[[#This Row],[IDENTIFICACIÓN]],PRÉSTAMOS!$B:$B,PRÉSTAMOS!G:G,"")=0,"",_xlfn.XLOOKUP(Clientes[[#This Row],[IDENTIFICACIÓN]],PRÉSTAMOS!$B:$B,PRÉSTAMOS!G:G,""))</f>
        <v>Zarzal</v>
      </c>
      <c r="G36" t="str">
        <f>+IF(_xlfn.XLOOKUP(Clientes[[#This Row],[IDENTIFICACIÓN]],PRÉSTAMOS!$B:$B,PRÉSTAMOS!H:H,"")=0,"",_xlfn.XLOOKUP(Clientes[[#This Row],[IDENTIFICACIÓN]],PRÉSTAMOS!$B:$B,PRÉSTAMOS!H:H,""))</f>
        <v>Valle del Cauca</v>
      </c>
      <c r="H36">
        <f>+IF(_xlfn.XLOOKUP(Clientes[[#This Row],[IDENTIFICACIÓN]],PRÉSTAMOS!$B:$B,PRÉSTAMOS!I:I,"")=0,"",_xlfn.XLOOKUP(Clientes[[#This Row],[IDENTIFICACIÓN]],PRÉSTAMOS!$B:$B,PRÉSTAMOS!I:I,""))</f>
        <v>3136747705</v>
      </c>
      <c r="I36" t="str">
        <f>+IF(_xlfn.XLOOKUP(Clientes[[#This Row],[IDENTIFICACIÓN]],PRÉSTAMOS!$B:$B,PRÉSTAMOS!J:J,"")=0,"",_xlfn.XLOOKUP(Clientes[[#This Row],[IDENTIFICACIÓN]],PRÉSTAMOS!$B:$B,PRÉSTAMOS!J:J,""))</f>
        <v>reinaldogilgallego01@gmail.com</v>
      </c>
    </row>
    <row r="37" spans="1:9" x14ac:dyDescent="0.25">
      <c r="A37" t="str">
        <f>+_xlfn.XLOOKUP(Clientes[[#This Row],[IDENTIFICACIÓN]],PRÉSTAMOS!$B:$B,PRÉSTAMOS!A:A)</f>
        <v>SEIDER ANDERSON HENAO CORREA</v>
      </c>
      <c r="B37">
        <v>1087994842</v>
      </c>
      <c r="C37" t="str">
        <f>+IF(_xlfn.XLOOKUP(Clientes[[#This Row],[IDENTIFICACIÓN]],PRÉSTAMOS!$B:$B,PRÉSTAMOS!C:C,"")=0,"",_xlfn.XLOOKUP(Clientes[[#This Row],[IDENTIFICACIÓN]],PRÉSTAMOS!$B:$B,PRÉSTAMOS!C:C,""))</f>
        <v>Dosquebradas</v>
      </c>
      <c r="D37" t="str">
        <f>+IF(_xlfn.XLOOKUP(Clientes[[#This Row],[IDENTIFICACIÓN]],PRÉSTAMOS!$B:$B,PRÉSTAMOS!E:E,"")=0,"",_xlfn.XLOOKUP(Clientes[[#This Row],[IDENTIFICACIÓN]],PRÉSTAMOS!$B:$B,PRÉSTAMOS!E:E,""))</f>
        <v>Bloque 1 Apartamento 302</v>
      </c>
      <c r="E37" t="str">
        <f>+IF(_xlfn.XLOOKUP(Clientes[[#This Row],[IDENTIFICACIÓN]],PRÉSTAMOS!$B:$B,PRÉSTAMOS!F:F,"")=0,"",_xlfn.XLOOKUP(Clientes[[#This Row],[IDENTIFICACIÓN]],PRÉSTAMOS!$B:$B,PRÉSTAMOS!F:F,""))</f>
        <v>B/Bosques de Santa Mónica</v>
      </c>
      <c r="F37" t="str">
        <f>+IF(_xlfn.XLOOKUP(Clientes[[#This Row],[IDENTIFICACIÓN]],PRÉSTAMOS!$B:$B,PRÉSTAMOS!G:G,"")=0,"",_xlfn.XLOOKUP(Clientes[[#This Row],[IDENTIFICACIÓN]],PRÉSTAMOS!$B:$B,PRÉSTAMOS!G:G,""))</f>
        <v>Pereira</v>
      </c>
      <c r="G37" t="str">
        <f>+IF(_xlfn.XLOOKUP(Clientes[[#This Row],[IDENTIFICACIÓN]],PRÉSTAMOS!$B:$B,PRÉSTAMOS!H:H,"")=0,"",_xlfn.XLOOKUP(Clientes[[#This Row],[IDENTIFICACIÓN]],PRÉSTAMOS!$B:$B,PRÉSTAMOS!H:H,""))</f>
        <v>Risaralda</v>
      </c>
      <c r="H37">
        <f>+IF(_xlfn.XLOOKUP(Clientes[[#This Row],[IDENTIFICACIÓN]],PRÉSTAMOS!$B:$B,PRÉSTAMOS!I:I,"")=0,"",_xlfn.XLOOKUP(Clientes[[#This Row],[IDENTIFICACIÓN]],PRÉSTAMOS!$B:$B,PRÉSTAMOS!I:I,""))</f>
        <v>3023016277</v>
      </c>
      <c r="I37" t="str">
        <f>+IF(_xlfn.XLOOKUP(Clientes[[#This Row],[IDENTIFICACIÓN]],PRÉSTAMOS!$B:$B,PRÉSTAMOS!J:J,"")=0,"",_xlfn.XLOOKUP(Clientes[[#This Row],[IDENTIFICACIÓN]],PRÉSTAMOS!$B:$B,PRÉSTAMOS!J:J,""))</f>
        <v>seider-088@hotmail.com</v>
      </c>
    </row>
    <row r="38" spans="1:9" x14ac:dyDescent="0.25">
      <c r="A38" t="str">
        <f>+_xlfn.XLOOKUP(Clientes[[#This Row],[IDENTIFICACIÓN]],PRÉSTAMOS!$B:$B,PRÉSTAMOS!A:A)</f>
        <v>JUAN DIEGO DE BEDOUT SALDARRIAGA</v>
      </c>
      <c r="B38">
        <v>1037584477</v>
      </c>
      <c r="C38" t="str">
        <f>+IF(_xlfn.XLOOKUP(Clientes[[#This Row],[IDENTIFICACIÓN]],PRÉSTAMOS!$B:$B,PRÉSTAMOS!C:C,"")=0,"",_xlfn.XLOOKUP(Clientes[[#This Row],[IDENTIFICACIÓN]],PRÉSTAMOS!$B:$B,PRÉSTAMOS!C:C,""))</f>
        <v>Envigado</v>
      </c>
      <c r="D38" t="str">
        <f>+IF(_xlfn.XLOOKUP(Clientes[[#This Row],[IDENTIFICACIÓN]],PRÉSTAMOS!$B:$B,PRÉSTAMOS!E:E,"")=0,"",_xlfn.XLOOKUP(Clientes[[#This Row],[IDENTIFICACIÓN]],PRÉSTAMOS!$B:$B,PRÉSTAMOS!E:E,""))</f>
        <v>Carrera 37A # 28-48</v>
      </c>
      <c r="E38" t="str">
        <f>+IF(_xlfn.XLOOKUP(Clientes[[#This Row],[IDENTIFICACIÓN]],PRÉSTAMOS!$B:$B,PRÉSTAMOS!F:F,"")=0,"",_xlfn.XLOOKUP(Clientes[[#This Row],[IDENTIFICACIÓN]],PRÉSTAMOS!$B:$B,PRÉSTAMOS!F:F,""))</f>
        <v>B/Palmar de Villa Verde</v>
      </c>
      <c r="F38" t="str">
        <f>+IF(_xlfn.XLOOKUP(Clientes[[#This Row],[IDENTIFICACIÓN]],PRÉSTAMOS!$B:$B,PRÉSTAMOS!G:G,"")=0,"",_xlfn.XLOOKUP(Clientes[[#This Row],[IDENTIFICACIÓN]],PRÉSTAMOS!$B:$B,PRÉSTAMOS!G:G,""))</f>
        <v>Pereira</v>
      </c>
      <c r="G38" t="str">
        <f>+IF(_xlfn.XLOOKUP(Clientes[[#This Row],[IDENTIFICACIÓN]],PRÉSTAMOS!$B:$B,PRÉSTAMOS!H:H,"")=0,"",_xlfn.XLOOKUP(Clientes[[#This Row],[IDENTIFICACIÓN]],PRÉSTAMOS!$B:$B,PRÉSTAMOS!H:H,""))</f>
        <v>Risaralda</v>
      </c>
      <c r="H38">
        <f>+IF(_xlfn.XLOOKUP(Clientes[[#This Row],[IDENTIFICACIÓN]],PRÉSTAMOS!$B:$B,PRÉSTAMOS!I:I,"")=0,"",_xlfn.XLOOKUP(Clientes[[#This Row],[IDENTIFICACIÓN]],PRÉSTAMOS!$B:$B,PRÉSTAMOS!I:I,""))</f>
        <v>3005363030</v>
      </c>
      <c r="I38" t="str">
        <f>+IF(_xlfn.XLOOKUP(Clientes[[#This Row],[IDENTIFICACIÓN]],PRÉSTAMOS!$B:$B,PRÉSTAMOS!J:J,"")=0,"",_xlfn.XLOOKUP(Clientes[[#This Row],[IDENTIFICACIÓN]],PRÉSTAMOS!$B:$B,PRÉSTAMOS!J:J,""))</f>
        <v>bedouthrxn@hotmail.com</v>
      </c>
    </row>
    <row r="39" spans="1:9" x14ac:dyDescent="0.25">
      <c r="A39" t="str">
        <f>+_xlfn.XLOOKUP(Clientes[[#This Row],[IDENTIFICACIÓN]],PRÉSTAMOS!$B:$B,PRÉSTAMOS!A:A)</f>
        <v>FERNANDO ESPINOSA ARANGO</v>
      </c>
      <c r="B39">
        <v>10071470</v>
      </c>
      <c r="C39" t="str">
        <f>+IF(_xlfn.XLOOKUP(Clientes[[#This Row],[IDENTIFICACIÓN]],PRÉSTAMOS!$B:$B,PRÉSTAMOS!C:C,"")=0,"",_xlfn.XLOOKUP(Clientes[[#This Row],[IDENTIFICACIÓN]],PRÉSTAMOS!$B:$B,PRÉSTAMOS!C:C,""))</f>
        <v>Pereira</v>
      </c>
      <c r="D39" t="str">
        <f>+IF(_xlfn.XLOOKUP(Clientes[[#This Row],[IDENTIFICACIÓN]],PRÉSTAMOS!$B:$B,PRÉSTAMOS!E:E,"")=0,"",_xlfn.XLOOKUP(Clientes[[#This Row],[IDENTIFICACIÓN]],PRÉSTAMOS!$B:$B,PRÉSTAMOS!E:E,""))</f>
        <v>Manzana 6 Casa 173 Plan 1</v>
      </c>
      <c r="E39" t="str">
        <f>+IF(_xlfn.XLOOKUP(Clientes[[#This Row],[IDENTIFICACIÓN]],PRÉSTAMOS!$B:$B,PRÉSTAMOS!F:F,"")=0,"",_xlfn.XLOOKUP(Clientes[[#This Row],[IDENTIFICACIÓN]],PRÉSTAMOS!$B:$B,PRÉSTAMOS!F:F,""))</f>
        <v>B/Camilo Torres</v>
      </c>
      <c r="F39" t="str">
        <f>+IF(_xlfn.XLOOKUP(Clientes[[#This Row],[IDENTIFICACIÓN]],PRÉSTAMOS!$B:$B,PRÉSTAMOS!G:G,"")=0,"",_xlfn.XLOOKUP(Clientes[[#This Row],[IDENTIFICACIÓN]],PRÉSTAMOS!$B:$B,PRÉSTAMOS!G:G,""))</f>
        <v>Dosquebradas</v>
      </c>
      <c r="G39" t="str">
        <f>+IF(_xlfn.XLOOKUP(Clientes[[#This Row],[IDENTIFICACIÓN]],PRÉSTAMOS!$B:$B,PRÉSTAMOS!H:H,"")=0,"",_xlfn.XLOOKUP(Clientes[[#This Row],[IDENTIFICACIÓN]],PRÉSTAMOS!$B:$B,PRÉSTAMOS!H:H,""))</f>
        <v>Risaralda</v>
      </c>
      <c r="H39">
        <f>+IF(_xlfn.XLOOKUP(Clientes[[#This Row],[IDENTIFICACIÓN]],PRÉSTAMOS!$B:$B,PRÉSTAMOS!I:I,"")=0,"",_xlfn.XLOOKUP(Clientes[[#This Row],[IDENTIFICACIÓN]],PRÉSTAMOS!$B:$B,PRÉSTAMOS!I:I,""))</f>
        <v>3014843322</v>
      </c>
      <c r="I39" t="str">
        <f>+IF(_xlfn.XLOOKUP(Clientes[[#This Row],[IDENTIFICACIÓN]],PRÉSTAMOS!$B:$B,PRÉSTAMOS!J:J,"")=0,"",_xlfn.XLOOKUP(Clientes[[#This Row],[IDENTIFICACIÓN]],PRÉSTAMOS!$B:$B,PRÉSTAMOS!J:J,""))</f>
        <v>espinosafernando686@gmail.com</v>
      </c>
    </row>
    <row r="40" spans="1:9" x14ac:dyDescent="0.25">
      <c r="A40" t="str">
        <f>+_xlfn.XLOOKUP(Clientes[[#This Row],[IDENTIFICACIÓN]],PRÉSTAMOS!$B:$B,PRÉSTAMOS!A:A)</f>
        <v>VILMA LUCÍA PATIÑO ARENAS</v>
      </c>
      <c r="B40">
        <v>42090888</v>
      </c>
      <c r="C40" t="str">
        <f>+IF(_xlfn.XLOOKUP(Clientes[[#This Row],[IDENTIFICACIÓN]],PRÉSTAMOS!$B:$B,PRÉSTAMOS!C:C,"")=0,"",_xlfn.XLOOKUP(Clientes[[#This Row],[IDENTIFICACIÓN]],PRÉSTAMOS!$B:$B,PRÉSTAMOS!C:C,""))</f>
        <v>Pereira</v>
      </c>
      <c r="D40" t="str">
        <f>+IF(_xlfn.XLOOKUP(Clientes[[#This Row],[IDENTIFICACIÓN]],PRÉSTAMOS!$B:$B,PRÉSTAMOS!E:E,"")=0,"",_xlfn.XLOOKUP(Clientes[[#This Row],[IDENTIFICACIÓN]],PRÉSTAMOS!$B:$B,PRÉSTAMOS!E:E,""))</f>
        <v>Calle 46 # 2-08 Lote 92A</v>
      </c>
      <c r="E40" t="str">
        <f>+IF(_xlfn.XLOOKUP(Clientes[[#This Row],[IDENTIFICACIÓN]],PRÉSTAMOS!$B:$B,PRÉSTAMOS!F:F,"")=0,"",_xlfn.XLOOKUP(Clientes[[#This Row],[IDENTIFICACIÓN]],PRÉSTAMOS!$B:$B,PRÉSTAMOS!F:F,""))</f>
        <v>B/El Triunfo</v>
      </c>
      <c r="F40" t="str">
        <f>+IF(_xlfn.XLOOKUP(Clientes[[#This Row],[IDENTIFICACIÓN]],PRÉSTAMOS!$B:$B,PRÉSTAMOS!G:G,"")=0,"",_xlfn.XLOOKUP(Clientes[[#This Row],[IDENTIFICACIÓN]],PRÉSTAMOS!$B:$B,PRÉSTAMOS!G:G,""))</f>
        <v>Pereira</v>
      </c>
      <c r="G40" t="str">
        <f>+IF(_xlfn.XLOOKUP(Clientes[[#This Row],[IDENTIFICACIÓN]],PRÉSTAMOS!$B:$B,PRÉSTAMOS!H:H,"")=0,"",_xlfn.XLOOKUP(Clientes[[#This Row],[IDENTIFICACIÓN]],PRÉSTAMOS!$B:$B,PRÉSTAMOS!H:H,""))</f>
        <v>Risaralda</v>
      </c>
      <c r="H40">
        <f>+IF(_xlfn.XLOOKUP(Clientes[[#This Row],[IDENTIFICACIÓN]],PRÉSTAMOS!$B:$B,PRÉSTAMOS!I:I,"")=0,"",_xlfn.XLOOKUP(Clientes[[#This Row],[IDENTIFICACIÓN]],PRÉSTAMOS!$B:$B,PRÉSTAMOS!I:I,""))</f>
        <v>3128772642</v>
      </c>
      <c r="I40" t="str">
        <f>+IF(_xlfn.XLOOKUP(Clientes[[#This Row],[IDENTIFICACIÓN]],PRÉSTAMOS!$B:$B,PRÉSTAMOS!J:J,"")=0,"",_xlfn.XLOOKUP(Clientes[[#This Row],[IDENTIFICACIÓN]],PRÉSTAMOS!$B:$B,PRÉSTAMOS!J:J,""))</f>
        <v>arenasluzdary60@gmail.com</v>
      </c>
    </row>
    <row r="41" spans="1:9" x14ac:dyDescent="0.25">
      <c r="A41" t="str">
        <f>+_xlfn.XLOOKUP(Clientes[[#This Row],[IDENTIFICACIÓN]],PRÉSTAMOS!$B:$B,PRÉSTAMOS!A:A)</f>
        <v>JOHAN SEBASTIÁN TORRES CUERVO</v>
      </c>
      <c r="B41">
        <v>1107083239</v>
      </c>
      <c r="C41" t="str">
        <f>+IF(_xlfn.XLOOKUP(Clientes[[#This Row],[IDENTIFICACIÓN]],PRÉSTAMOS!$B:$B,PRÉSTAMOS!C:C,"")=0,"",_xlfn.XLOOKUP(Clientes[[#This Row],[IDENTIFICACIÓN]],PRÉSTAMOS!$B:$B,PRÉSTAMOS!C:C,""))</f>
        <v>Cali</v>
      </c>
      <c r="D41" t="str">
        <f>+IF(_xlfn.XLOOKUP(Clientes[[#This Row],[IDENTIFICACIÓN]],PRÉSTAMOS!$B:$B,PRÉSTAMOS!E:E,"")=0,"",_xlfn.XLOOKUP(Clientes[[#This Row],[IDENTIFICACIÓN]],PRÉSTAMOS!$B:$B,PRÉSTAMOS!E:E,""))</f>
        <v>Calle 141 # 15A - 32</v>
      </c>
      <c r="E41" t="str">
        <f>+IF(_xlfn.XLOOKUP(Clientes[[#This Row],[IDENTIFICACIÓN]],PRÉSTAMOS!$B:$B,PRÉSTAMOS!F:F,"")=0,"",_xlfn.XLOOKUP(Clientes[[#This Row],[IDENTIFICACIÓN]],PRÉSTAMOS!$B:$B,PRÉSTAMOS!F:F,""))</f>
        <v>Cerritos Campestre</v>
      </c>
      <c r="F41" t="str">
        <f>+IF(_xlfn.XLOOKUP(Clientes[[#This Row],[IDENTIFICACIÓN]],PRÉSTAMOS!$B:$B,PRÉSTAMOS!G:G,"")=0,"",_xlfn.XLOOKUP(Clientes[[#This Row],[IDENTIFICACIÓN]],PRÉSTAMOS!$B:$B,PRÉSTAMOS!G:G,""))</f>
        <v>Pereira</v>
      </c>
      <c r="G41" t="str">
        <f>+IF(_xlfn.XLOOKUP(Clientes[[#This Row],[IDENTIFICACIÓN]],PRÉSTAMOS!$B:$B,PRÉSTAMOS!H:H,"")=0,"",_xlfn.XLOOKUP(Clientes[[#This Row],[IDENTIFICACIÓN]],PRÉSTAMOS!$B:$B,PRÉSTAMOS!H:H,""))</f>
        <v>Risaralda</v>
      </c>
      <c r="H41">
        <f>+IF(_xlfn.XLOOKUP(Clientes[[#This Row],[IDENTIFICACIÓN]],PRÉSTAMOS!$B:$B,PRÉSTAMOS!I:I,"")=0,"",_xlfn.XLOOKUP(Clientes[[#This Row],[IDENTIFICACIÓN]],PRÉSTAMOS!$B:$B,PRÉSTAMOS!I:I,""))</f>
        <v>3105343799</v>
      </c>
      <c r="I41" t="str">
        <f>+IF(_xlfn.XLOOKUP(Clientes[[#This Row],[IDENTIFICACIÓN]],PRÉSTAMOS!$B:$B,PRÉSTAMOS!J:J,"")=0,"",_xlfn.XLOOKUP(Clientes[[#This Row],[IDENTIFICACIÓN]],PRÉSTAMOS!$B:$B,PRÉSTAMOS!J:J,""))</f>
        <v>torresjohan609@gmail.com</v>
      </c>
    </row>
    <row r="42" spans="1:9" x14ac:dyDescent="0.25">
      <c r="A42" t="str">
        <f>+_xlfn.XLOOKUP(Clientes[[#This Row],[IDENTIFICACIÓN]],PRÉSTAMOS!$B:$B,PRÉSTAMOS!A:A)</f>
        <v>BLANCA YDALY CUERVO DE DAMIÁN</v>
      </c>
      <c r="B42">
        <v>29063030</v>
      </c>
      <c r="C42" t="str">
        <f>+IF(_xlfn.XLOOKUP(Clientes[[#This Row],[IDENTIFICACIÓN]],PRÉSTAMOS!$B:$B,PRÉSTAMOS!C:C,"")=0,"",_xlfn.XLOOKUP(Clientes[[#This Row],[IDENTIFICACIÓN]],PRÉSTAMOS!$B:$B,PRÉSTAMOS!C:C,""))</f>
        <v>Cali</v>
      </c>
      <c r="D42" t="str">
        <f>+IF(_xlfn.XLOOKUP(Clientes[[#This Row],[IDENTIFICACIÓN]],PRÉSTAMOS!$B:$B,PRÉSTAMOS!E:E,"")=0,"",_xlfn.XLOOKUP(Clientes[[#This Row],[IDENTIFICACIÓN]],PRÉSTAMOS!$B:$B,PRÉSTAMOS!E:E,""))</f>
        <v>Carrera 7C Bis # 81-49</v>
      </c>
      <c r="E42" t="str">
        <f>+IF(_xlfn.XLOOKUP(Clientes[[#This Row],[IDENTIFICACIÓN]],PRÉSTAMOS!$B:$B,PRÉSTAMOS!F:F,"")=0,"",_xlfn.XLOOKUP(Clientes[[#This Row],[IDENTIFICACIÓN]],PRÉSTAMOS!$B:$B,PRÉSTAMOS!F:F,""))</f>
        <v>B/Alfonso López</v>
      </c>
      <c r="F42" t="str">
        <f>+IF(_xlfn.XLOOKUP(Clientes[[#This Row],[IDENTIFICACIÓN]],PRÉSTAMOS!$B:$B,PRÉSTAMOS!G:G,"")=0,"",_xlfn.XLOOKUP(Clientes[[#This Row],[IDENTIFICACIÓN]],PRÉSTAMOS!$B:$B,PRÉSTAMOS!G:G,""))</f>
        <v>Cali</v>
      </c>
      <c r="G42" t="str">
        <f>+IF(_xlfn.XLOOKUP(Clientes[[#This Row],[IDENTIFICACIÓN]],PRÉSTAMOS!$B:$B,PRÉSTAMOS!H:H,"")=0,"",_xlfn.XLOOKUP(Clientes[[#This Row],[IDENTIFICACIÓN]],PRÉSTAMOS!$B:$B,PRÉSTAMOS!H:H,""))</f>
        <v>Valle del Cauca</v>
      </c>
      <c r="H42">
        <f>+IF(_xlfn.XLOOKUP(Clientes[[#This Row],[IDENTIFICACIÓN]],PRÉSTAMOS!$B:$B,PRÉSTAMOS!I:I,"")=0,"",_xlfn.XLOOKUP(Clientes[[#This Row],[IDENTIFICACIÓN]],PRÉSTAMOS!$B:$B,PRÉSTAMOS!I:I,""))</f>
        <v>3168409928</v>
      </c>
      <c r="I42" t="str">
        <f>+IF(_xlfn.XLOOKUP(Clientes[[#This Row],[IDENTIFICACIÓN]],PRÉSTAMOS!$B:$B,PRÉSTAMOS!J:J,"")=0,"",_xlfn.XLOOKUP(Clientes[[#This Row],[IDENTIFICACIÓN]],PRÉSTAMOS!$B:$B,PRÉSTAMOS!J:J,""))</f>
        <v>torresjohan609@gmail.com</v>
      </c>
    </row>
    <row r="43" spans="1:9" x14ac:dyDescent="0.25">
      <c r="A43" t="str">
        <f>+_xlfn.XLOOKUP(Clientes[[#This Row],[IDENTIFICACIÓN]],PRÉSTAMOS!$B:$B,PRÉSTAMOS!A:A)</f>
        <v>ALONSO ZULUAGA ARANGO</v>
      </c>
      <c r="B43">
        <v>10081308</v>
      </c>
      <c r="C43" t="str">
        <f>+IF(_xlfn.XLOOKUP(Clientes[[#This Row],[IDENTIFICACIÓN]],PRÉSTAMOS!$B:$B,PRÉSTAMOS!C:C,"")=0,"",_xlfn.XLOOKUP(Clientes[[#This Row],[IDENTIFICACIÓN]],PRÉSTAMOS!$B:$B,PRÉSTAMOS!C:C,""))</f>
        <v>Pereira</v>
      </c>
      <c r="D43" t="str">
        <f>+IF(_xlfn.XLOOKUP(Clientes[[#This Row],[IDENTIFICACIÓN]],PRÉSTAMOS!$B:$B,PRÉSTAMOS!E:E,"")=0,"",_xlfn.XLOOKUP(Clientes[[#This Row],[IDENTIFICACIÓN]],PRÉSTAMOS!$B:$B,PRÉSTAMOS!E:E,""))</f>
        <v>Carrera 34 A # 71-88</v>
      </c>
      <c r="E43" t="str">
        <f>+IF(_xlfn.XLOOKUP(Clientes[[#This Row],[IDENTIFICACIÓN]],PRÉSTAMOS!$B:$B,PRÉSTAMOS!F:F,"")=0,"",_xlfn.XLOOKUP(Clientes[[#This Row],[IDENTIFICACIÓN]],PRÉSTAMOS!$B:$B,PRÉSTAMOS!F:F,""))</f>
        <v>B/Los Sauces</v>
      </c>
      <c r="F43" t="str">
        <f>+IF(_xlfn.XLOOKUP(Clientes[[#This Row],[IDENTIFICACIÓN]],PRÉSTAMOS!$B:$B,PRÉSTAMOS!G:G,"")=0,"",_xlfn.XLOOKUP(Clientes[[#This Row],[IDENTIFICACIÓN]],PRÉSTAMOS!$B:$B,PRÉSTAMOS!G:G,""))</f>
        <v>Pereira</v>
      </c>
      <c r="G43" t="str">
        <f>+IF(_xlfn.XLOOKUP(Clientes[[#This Row],[IDENTIFICACIÓN]],PRÉSTAMOS!$B:$B,PRÉSTAMOS!H:H,"")=0,"",_xlfn.XLOOKUP(Clientes[[#This Row],[IDENTIFICACIÓN]],PRÉSTAMOS!$B:$B,PRÉSTAMOS!H:H,""))</f>
        <v>Risaralda</v>
      </c>
      <c r="H43">
        <f>+IF(_xlfn.XLOOKUP(Clientes[[#This Row],[IDENTIFICACIÓN]],PRÉSTAMOS!$B:$B,PRÉSTAMOS!I:I,"")=0,"",_xlfn.XLOOKUP(Clientes[[#This Row],[IDENTIFICACIÓN]],PRÉSTAMOS!$B:$B,PRÉSTAMOS!I:I,""))</f>
        <v>3215592020</v>
      </c>
      <c r="I43" t="str">
        <f>+IF(_xlfn.XLOOKUP(Clientes[[#This Row],[IDENTIFICACIÓN]],PRÉSTAMOS!$B:$B,PRÉSTAMOS!J:J,"")=0,"",_xlfn.XLOOKUP(Clientes[[#This Row],[IDENTIFICACIÓN]],PRÉSTAMOS!$B:$B,PRÉSTAMOS!J:J,""))</f>
        <v>alonsozuluaga2015@hotmail.com</v>
      </c>
    </row>
    <row r="44" spans="1:9" x14ac:dyDescent="0.25">
      <c r="A44" t="str">
        <f>+_xlfn.XLOOKUP(Clientes[[#This Row],[IDENTIFICACIÓN]],PRÉSTAMOS!$B:$B,PRÉSTAMOS!A:A)</f>
        <v>GUILLERMO MEJÍA CÓRDOBA</v>
      </c>
      <c r="B44">
        <v>10532530</v>
      </c>
      <c r="C44" t="str">
        <f>+IF(_xlfn.XLOOKUP(Clientes[[#This Row],[IDENTIFICACIÓN]],PRÉSTAMOS!$B:$B,PRÉSTAMOS!C:C,"")=0,"",_xlfn.XLOOKUP(Clientes[[#This Row],[IDENTIFICACIÓN]],PRÉSTAMOS!$B:$B,PRÉSTAMOS!C:C,""))</f>
        <v>Pereira</v>
      </c>
      <c r="D44" t="str">
        <f>+IF(_xlfn.XLOOKUP(Clientes[[#This Row],[IDENTIFICACIÓN]],PRÉSTAMOS!$B:$B,PRÉSTAMOS!E:E,"")=0,"",_xlfn.XLOOKUP(Clientes[[#This Row],[IDENTIFICACIÓN]],PRÉSTAMOS!$B:$B,PRÉSTAMOS!E:E,""))</f>
        <v>Carrera 5 # 14-25</v>
      </c>
      <c r="E44" t="str">
        <f>+IF(_xlfn.XLOOKUP(Clientes[[#This Row],[IDENTIFICACIÓN]],PRÉSTAMOS!$B:$B,PRÉSTAMOS!F:F,"")=0,"",_xlfn.XLOOKUP(Clientes[[#This Row],[IDENTIFICACIÓN]],PRÉSTAMOS!$B:$B,PRÉSTAMOS!F:F,""))</f>
        <v>B/Bolívar</v>
      </c>
      <c r="F44" t="str">
        <f>+IF(_xlfn.XLOOKUP(Clientes[[#This Row],[IDENTIFICACIÓN]],PRÉSTAMOS!$B:$B,PRÉSTAMOS!G:G,"")=0,"",_xlfn.XLOOKUP(Clientes[[#This Row],[IDENTIFICACIÓN]],PRÉSTAMOS!$B:$B,PRÉSTAMOS!G:G,""))</f>
        <v>Zarzal</v>
      </c>
      <c r="G44" t="str">
        <f>+IF(_xlfn.XLOOKUP(Clientes[[#This Row],[IDENTIFICACIÓN]],PRÉSTAMOS!$B:$B,PRÉSTAMOS!H:H,"")=0,"",_xlfn.XLOOKUP(Clientes[[#This Row],[IDENTIFICACIÓN]],PRÉSTAMOS!$B:$B,PRÉSTAMOS!H:H,""))</f>
        <v>Valle del Cauca</v>
      </c>
      <c r="H44">
        <f>+IF(_xlfn.XLOOKUP(Clientes[[#This Row],[IDENTIFICACIÓN]],PRÉSTAMOS!$B:$B,PRÉSTAMOS!I:I,"")=0,"",_xlfn.XLOOKUP(Clientes[[#This Row],[IDENTIFICACIÓN]],PRÉSTAMOS!$B:$B,PRÉSTAMOS!I:I,""))</f>
        <v>3152645900</v>
      </c>
      <c r="I44" t="str">
        <f>+IF(_xlfn.XLOOKUP(Clientes[[#This Row],[IDENTIFICACIÓN]],PRÉSTAMOS!$B:$B,PRÉSTAMOS!J:J,"")=0,"",_xlfn.XLOOKUP(Clientes[[#This Row],[IDENTIFICACIÓN]],PRÉSTAMOS!$B:$B,PRÉSTAMOS!J:J,""))</f>
        <v/>
      </c>
    </row>
    <row r="45" spans="1:9" x14ac:dyDescent="0.25">
      <c r="A45" t="str">
        <f>+_xlfn.XLOOKUP(Clientes[[#This Row],[IDENTIFICACIÓN]],PRÉSTAMOS!$B:$B,PRÉSTAMOS!A:A)</f>
        <v>MARLENY VALENCIA SEPÚLVEDA</v>
      </c>
      <c r="B45">
        <v>29770801</v>
      </c>
      <c r="C45" t="str">
        <f>+IF(_xlfn.XLOOKUP(Clientes[[#This Row],[IDENTIFICACIÓN]],PRÉSTAMOS!$B:$B,PRÉSTAMOS!C:C,"")=0,"",_xlfn.XLOOKUP(Clientes[[#This Row],[IDENTIFICACIÓN]],PRÉSTAMOS!$B:$B,PRÉSTAMOS!C:C,""))</f>
        <v>Roldanillo</v>
      </c>
      <c r="D45" t="str">
        <f>+IF(_xlfn.XLOOKUP(Clientes[[#This Row],[IDENTIFICACIÓN]],PRÉSTAMOS!$B:$B,PRÉSTAMOS!E:E,"")=0,"",_xlfn.XLOOKUP(Clientes[[#This Row],[IDENTIFICACIÓN]],PRÉSTAMOS!$B:$B,PRÉSTAMOS!E:E,""))</f>
        <v>Carrera 28 Norte # 6-73</v>
      </c>
      <c r="E45" t="str">
        <f>+IF(_xlfn.XLOOKUP(Clientes[[#This Row],[IDENTIFICACIÓN]],PRÉSTAMOS!$B:$B,PRÉSTAMOS!F:F,"")=0,"",_xlfn.XLOOKUP(Clientes[[#This Row],[IDENTIFICACIÓN]],PRÉSTAMOS!$B:$B,PRÉSTAMOS!F:F,""))</f>
        <v>B/Arrayanes</v>
      </c>
      <c r="F45" t="str">
        <f>+IF(_xlfn.XLOOKUP(Clientes[[#This Row],[IDENTIFICACIÓN]],PRÉSTAMOS!$B:$B,PRÉSTAMOS!G:G,"")=0,"",_xlfn.XLOOKUP(Clientes[[#This Row],[IDENTIFICACIÓN]],PRÉSTAMOS!$B:$B,PRÉSTAMOS!G:G,""))</f>
        <v>Roldanillo</v>
      </c>
      <c r="G45" t="str">
        <f>+IF(_xlfn.XLOOKUP(Clientes[[#This Row],[IDENTIFICACIÓN]],PRÉSTAMOS!$B:$B,PRÉSTAMOS!H:H,"")=0,"",_xlfn.XLOOKUP(Clientes[[#This Row],[IDENTIFICACIÓN]],PRÉSTAMOS!$B:$B,PRÉSTAMOS!H:H,""))</f>
        <v>Valle del Cauca</v>
      </c>
      <c r="H45">
        <f>+IF(_xlfn.XLOOKUP(Clientes[[#This Row],[IDENTIFICACIÓN]],PRÉSTAMOS!$B:$B,PRÉSTAMOS!I:I,"")=0,"",_xlfn.XLOOKUP(Clientes[[#This Row],[IDENTIFICACIÓN]],PRÉSTAMOS!$B:$B,PRÉSTAMOS!I:I,""))</f>
        <v>3177350102</v>
      </c>
      <c r="I45" t="str">
        <f>+IF(_xlfn.XLOOKUP(Clientes[[#This Row],[IDENTIFICACIÓN]],PRÉSTAMOS!$B:$B,PRÉSTAMOS!J:J,"")=0,"",_xlfn.XLOOKUP(Clientes[[#This Row],[IDENTIFICACIÓN]],PRÉSTAMOS!$B:$B,PRÉSTAMOS!J:J,""))</f>
        <v>marlenyvsulp@gmail.com</v>
      </c>
    </row>
    <row r="46" spans="1:9" x14ac:dyDescent="0.25">
      <c r="A46" t="str">
        <f>+_xlfn.XLOOKUP(Clientes[[#This Row],[IDENTIFICACIÓN]],PRÉSTAMOS!$B:$B,PRÉSTAMOS!A:A)</f>
        <v>JOSÉ ARLES PULGARÍN GALVEZ</v>
      </c>
      <c r="B46">
        <v>1414863</v>
      </c>
      <c r="C46" t="str">
        <f>+IF(_xlfn.XLOOKUP(Clientes[[#This Row],[IDENTIFICACIÓN]],PRÉSTAMOS!$B:$B,PRÉSTAMOS!C:C,"")=0,"",_xlfn.XLOOKUP(Clientes[[#This Row],[IDENTIFICACIÓN]],PRÉSTAMOS!$B:$B,PRÉSTAMOS!C:C,""))</f>
        <v>Supía</v>
      </c>
      <c r="D46" t="str">
        <f>+IF(_xlfn.XLOOKUP(Clientes[[#This Row],[IDENTIFICACIÓN]],PRÉSTAMOS!$B:$B,PRÉSTAMOS!E:E,"")=0,"",_xlfn.XLOOKUP(Clientes[[#This Row],[IDENTIFICACIÓN]],PRÉSTAMOS!$B:$B,PRÉSTAMOS!E:E,""))</f>
        <v>Calle 25 E # 21-10</v>
      </c>
      <c r="E46" t="str">
        <f>+IF(_xlfn.XLOOKUP(Clientes[[#This Row],[IDENTIFICACIÓN]],PRÉSTAMOS!$B:$B,PRÉSTAMOS!F:F,"")=0,"",_xlfn.XLOOKUP(Clientes[[#This Row],[IDENTIFICACIÓN]],PRÉSTAMOS!$B:$B,PRÉSTAMOS!F:F,""))</f>
        <v>B/Palermo</v>
      </c>
      <c r="F46" t="str">
        <f>+IF(_xlfn.XLOOKUP(Clientes[[#This Row],[IDENTIFICACIÓN]],PRÉSTAMOS!$B:$B,PRÉSTAMOS!G:G,"")=0,"",_xlfn.XLOOKUP(Clientes[[#This Row],[IDENTIFICACIÓN]],PRÉSTAMOS!$B:$B,PRÉSTAMOS!G:G,""))</f>
        <v>Pereira</v>
      </c>
      <c r="G46" t="str">
        <f>+IF(_xlfn.XLOOKUP(Clientes[[#This Row],[IDENTIFICACIÓN]],PRÉSTAMOS!$B:$B,PRÉSTAMOS!H:H,"")=0,"",_xlfn.XLOOKUP(Clientes[[#This Row],[IDENTIFICACIÓN]],PRÉSTAMOS!$B:$B,PRÉSTAMOS!H:H,""))</f>
        <v>Risaralda</v>
      </c>
      <c r="H46">
        <f>+IF(_xlfn.XLOOKUP(Clientes[[#This Row],[IDENTIFICACIÓN]],PRÉSTAMOS!$B:$B,PRÉSTAMOS!I:I,"")=0,"",_xlfn.XLOOKUP(Clientes[[#This Row],[IDENTIFICACIÓN]],PRÉSTAMOS!$B:$B,PRÉSTAMOS!I:I,""))</f>
        <v>3225532680</v>
      </c>
      <c r="I46" t="str">
        <f>+IF(_xlfn.XLOOKUP(Clientes[[#This Row],[IDENTIFICACIÓN]],PRÉSTAMOS!$B:$B,PRÉSTAMOS!J:J,"")=0,"",_xlfn.XLOOKUP(Clientes[[#This Row],[IDENTIFICACIÓN]],PRÉSTAMOS!$B:$B,PRÉSTAMOS!J:J,""))</f>
        <v>josearlespulgarin39@gmail.com</v>
      </c>
    </row>
    <row r="47" spans="1:9" x14ac:dyDescent="0.25">
      <c r="A47" t="str">
        <f>+_xlfn.XLOOKUP(Clientes[[#This Row],[IDENTIFICACIÓN]],PRÉSTAMOS!$B:$B,PRÉSTAMOS!A:A)</f>
        <v>JUAN DIEGO ECHAVARRÍA ZAPATA</v>
      </c>
      <c r="B47">
        <v>94463760</v>
      </c>
      <c r="C47" t="str">
        <f>+IF(_xlfn.XLOOKUP(Clientes[[#This Row],[IDENTIFICACIÓN]],PRÉSTAMOS!$B:$B,PRÉSTAMOS!C:C,"")=0,"",_xlfn.XLOOKUP(Clientes[[#This Row],[IDENTIFICACIÓN]],PRÉSTAMOS!$B:$B,PRÉSTAMOS!C:C,""))</f>
        <v>Caicedonia</v>
      </c>
      <c r="D47" t="str">
        <f>+IF(_xlfn.XLOOKUP(Clientes[[#This Row],[IDENTIFICACIÓN]],PRÉSTAMOS!$B:$B,PRÉSTAMOS!E:E,"")=0,"",_xlfn.XLOOKUP(Clientes[[#This Row],[IDENTIFICACIÓN]],PRÉSTAMOS!$B:$B,PRÉSTAMOS!E:E,""))</f>
        <v>Calle 4 # 4-24</v>
      </c>
      <c r="E47" t="str">
        <f>+IF(_xlfn.XLOOKUP(Clientes[[#This Row],[IDENTIFICACIÓN]],PRÉSTAMOS!$B:$B,PRÉSTAMOS!F:F,"")=0,"",_xlfn.XLOOKUP(Clientes[[#This Row],[IDENTIFICACIÓN]],PRÉSTAMOS!$B:$B,PRÉSTAMOS!F:F,""))</f>
        <v/>
      </c>
      <c r="F47" t="str">
        <f>+IF(_xlfn.XLOOKUP(Clientes[[#This Row],[IDENTIFICACIÓN]],PRÉSTAMOS!$B:$B,PRÉSTAMOS!G:G,"")=0,"",_xlfn.XLOOKUP(Clientes[[#This Row],[IDENTIFICACIÓN]],PRÉSTAMOS!$B:$B,PRÉSTAMOS!G:G,""))</f>
        <v>Pereira</v>
      </c>
      <c r="G47" t="str">
        <f>+IF(_xlfn.XLOOKUP(Clientes[[#This Row],[IDENTIFICACIÓN]],PRÉSTAMOS!$B:$B,PRÉSTAMOS!H:H,"")=0,"",_xlfn.XLOOKUP(Clientes[[#This Row],[IDENTIFICACIÓN]],PRÉSTAMOS!$B:$B,PRÉSTAMOS!H:H,""))</f>
        <v>Risaralda</v>
      </c>
      <c r="H47">
        <f>+IF(_xlfn.XLOOKUP(Clientes[[#This Row],[IDENTIFICACIÓN]],PRÉSTAMOS!$B:$B,PRÉSTAMOS!I:I,"")=0,"",_xlfn.XLOOKUP(Clientes[[#This Row],[IDENTIFICACIÓN]],PRÉSTAMOS!$B:$B,PRÉSTAMOS!I:I,""))</f>
        <v>3138092666</v>
      </c>
      <c r="I47" t="str">
        <f>+IF(_xlfn.XLOOKUP(Clientes[[#This Row],[IDENTIFICACIÓN]],PRÉSTAMOS!$B:$B,PRÉSTAMOS!J:J,"")=0,"",_xlfn.XLOOKUP(Clientes[[#This Row],[IDENTIFICACIÓN]],PRÉSTAMOS!$B:$B,PRÉSTAMOS!J:J,""))</f>
        <v>juan.echavarria3760@correo.policia.gov.co</v>
      </c>
    </row>
    <row r="48" spans="1:9" x14ac:dyDescent="0.25">
      <c r="A48" t="str">
        <f>+_xlfn.XLOOKUP(Clientes[[#This Row],[IDENTIFICACIÓN]],PRÉSTAMOS!$B:$B,PRÉSTAMOS!A:A)</f>
        <v>LICED DANIELA HERNÁNDEZ CÁCERES</v>
      </c>
      <c r="B48">
        <v>1005094186</v>
      </c>
      <c r="C48" t="str">
        <f>+IF(_xlfn.XLOOKUP(Clientes[[#This Row],[IDENTIFICACIÓN]],PRÉSTAMOS!$B:$B,PRÉSTAMOS!C:C,"")=0,"",_xlfn.XLOOKUP(Clientes[[#This Row],[IDENTIFICACIÓN]],PRÉSTAMOS!$B:$B,PRÉSTAMOS!C:C,""))</f>
        <v>Armenia</v>
      </c>
      <c r="D48" t="str">
        <f>+IF(_xlfn.XLOOKUP(Clientes[[#This Row],[IDENTIFICACIÓN]],PRÉSTAMOS!$B:$B,PRÉSTAMOS!E:E,"")=0,"",_xlfn.XLOOKUP(Clientes[[#This Row],[IDENTIFICACIÓN]],PRÉSTAMOS!$B:$B,PRÉSTAMOS!E:E,""))</f>
        <v>Calle 27 # 1A-38</v>
      </c>
      <c r="E48" t="str">
        <f>+IF(_xlfn.XLOOKUP(Clientes[[#This Row],[IDENTIFICACIÓN]],PRÉSTAMOS!$B:$B,PRÉSTAMOS!F:F,"")=0,"",_xlfn.XLOOKUP(Clientes[[#This Row],[IDENTIFICACIÓN]],PRÉSTAMOS!$B:$B,PRÉSTAMOS!F:F,""))</f>
        <v>B/Av. Del Río</v>
      </c>
      <c r="F48" t="str">
        <f>+IF(_xlfn.XLOOKUP(Clientes[[#This Row],[IDENTIFICACIÓN]],PRÉSTAMOS!$B:$B,PRÉSTAMOS!G:G,"")=0,"",_xlfn.XLOOKUP(Clientes[[#This Row],[IDENTIFICACIÓN]],PRÉSTAMOS!$B:$B,PRÉSTAMOS!G:G,""))</f>
        <v>Pereira</v>
      </c>
      <c r="G48" t="str">
        <f>+IF(_xlfn.XLOOKUP(Clientes[[#This Row],[IDENTIFICACIÓN]],PRÉSTAMOS!$B:$B,PRÉSTAMOS!H:H,"")=0,"",_xlfn.XLOOKUP(Clientes[[#This Row],[IDENTIFICACIÓN]],PRÉSTAMOS!$B:$B,PRÉSTAMOS!H:H,""))</f>
        <v>Risaralda</v>
      </c>
      <c r="H48">
        <f>+IF(_xlfn.XLOOKUP(Clientes[[#This Row],[IDENTIFICACIÓN]],PRÉSTAMOS!$B:$B,PRÉSTAMOS!I:I,"")=0,"",_xlfn.XLOOKUP(Clientes[[#This Row],[IDENTIFICACIÓN]],PRÉSTAMOS!$B:$B,PRÉSTAMOS!I:I,""))</f>
        <v>3135283921</v>
      </c>
      <c r="I48" t="str">
        <f>+IF(_xlfn.XLOOKUP(Clientes[[#This Row],[IDENTIFICACIÓN]],PRÉSTAMOS!$B:$B,PRÉSTAMOS!J:J,"")=0,"",_xlfn.XLOOKUP(Clientes[[#This Row],[IDENTIFICACIÓN]],PRÉSTAMOS!$B:$B,PRÉSTAMOS!J:J,""))</f>
        <v>daniela17072000@gmail.com</v>
      </c>
    </row>
    <row r="49" spans="1:9" x14ac:dyDescent="0.25">
      <c r="A49" t="str">
        <f>+_xlfn.XLOOKUP(Clientes[[#This Row],[IDENTIFICACIÓN]],PRÉSTAMOS!$B:$B,PRÉSTAMOS!A:A)</f>
        <v>WALTER BLANDÓN ISAZA</v>
      </c>
      <c r="B49">
        <v>10135450</v>
      </c>
      <c r="C49" t="str">
        <f>+IF(_xlfn.XLOOKUP(Clientes[[#This Row],[IDENTIFICACIÓN]],PRÉSTAMOS!$B:$B,PRÉSTAMOS!C:C,"")=0,"",_xlfn.XLOOKUP(Clientes[[#This Row],[IDENTIFICACIÓN]],PRÉSTAMOS!$B:$B,PRÉSTAMOS!C:C,""))</f>
        <v xml:space="preserve"> Pereira</v>
      </c>
      <c r="D49" t="str">
        <f>+IF(_xlfn.XLOOKUP(Clientes[[#This Row],[IDENTIFICACIÓN]],PRÉSTAMOS!$B:$B,PRÉSTAMOS!E:E,"")=0,"",_xlfn.XLOOKUP(Clientes[[#This Row],[IDENTIFICACIÓN]],PRÉSTAMOS!$B:$B,PRÉSTAMOS!E:E,""))</f>
        <v>Carrera 6 # 25-36 Apartamento 102</v>
      </c>
      <c r="E49" t="str">
        <f>+IF(_xlfn.XLOOKUP(Clientes[[#This Row],[IDENTIFICACIÓN]],PRÉSTAMOS!$B:$B,PRÉSTAMOS!F:F,"")=0,"",_xlfn.XLOOKUP(Clientes[[#This Row],[IDENTIFICACIÓN]],PRÉSTAMOS!$B:$B,PRÉSTAMOS!F:F,""))</f>
        <v>Edificio Luján</v>
      </c>
      <c r="F49" t="str">
        <f>+IF(_xlfn.XLOOKUP(Clientes[[#This Row],[IDENTIFICACIÓN]],PRÉSTAMOS!$B:$B,PRÉSTAMOS!G:G,"")=0,"",_xlfn.XLOOKUP(Clientes[[#This Row],[IDENTIFICACIÓN]],PRÉSTAMOS!$B:$B,PRÉSTAMOS!G:G,""))</f>
        <v>Pereira</v>
      </c>
      <c r="G49" t="str">
        <f>+IF(_xlfn.XLOOKUP(Clientes[[#This Row],[IDENTIFICACIÓN]],PRÉSTAMOS!$B:$B,PRÉSTAMOS!H:H,"")=0,"",_xlfn.XLOOKUP(Clientes[[#This Row],[IDENTIFICACIÓN]],PRÉSTAMOS!$B:$B,PRÉSTAMOS!H:H,""))</f>
        <v>Risaralda</v>
      </c>
      <c r="H49">
        <f>+IF(_xlfn.XLOOKUP(Clientes[[#This Row],[IDENTIFICACIÓN]],PRÉSTAMOS!$B:$B,PRÉSTAMOS!I:I,"")=0,"",_xlfn.XLOOKUP(Clientes[[#This Row],[IDENTIFICACIÓN]],PRÉSTAMOS!$B:$B,PRÉSTAMOS!I:I,""))</f>
        <v>3116009902</v>
      </c>
      <c r="I49" t="str">
        <f>+IF(_xlfn.XLOOKUP(Clientes[[#This Row],[IDENTIFICACIÓN]],PRÉSTAMOS!$B:$B,PRÉSTAMOS!J:J,"")=0,"",_xlfn.XLOOKUP(Clientes[[#This Row],[IDENTIFICACIÓN]],PRÉSTAMOS!$B:$B,PRÉSTAMOS!J:J,""))</f>
        <v>walter.blandon@yahoo.es</v>
      </c>
    </row>
    <row r="50" spans="1:9" x14ac:dyDescent="0.25">
      <c r="A50" t="str">
        <f>+_xlfn.XLOOKUP(Clientes[[#This Row],[IDENTIFICACIÓN]],PRÉSTAMOS!$B:$B,PRÉSTAMOS!A:A)</f>
        <v>JAIME DE JESÚS ESCOBAR FLOREZ</v>
      </c>
      <c r="B50">
        <v>10069872</v>
      </c>
      <c r="C50" t="str">
        <f>+IF(_xlfn.XLOOKUP(Clientes[[#This Row],[IDENTIFICACIÓN]],PRÉSTAMOS!$B:$B,PRÉSTAMOS!C:C,"")=0,"",_xlfn.XLOOKUP(Clientes[[#This Row],[IDENTIFICACIÓN]],PRÉSTAMOS!$B:$B,PRÉSTAMOS!C:C,""))</f>
        <v>Pereira</v>
      </c>
      <c r="D50" t="str">
        <f>+IF(_xlfn.XLOOKUP(Clientes[[#This Row],[IDENTIFICACIÓN]],PRÉSTAMOS!$B:$B,PRÉSTAMOS!E:E,"")=0,"",_xlfn.XLOOKUP(Clientes[[#This Row],[IDENTIFICACIÓN]],PRÉSTAMOS!$B:$B,PRÉSTAMOS!E:E,""))</f>
        <v>Calle 33 # 2-35</v>
      </c>
      <c r="E50" t="str">
        <f>+IF(_xlfn.XLOOKUP(Clientes[[#This Row],[IDENTIFICACIÓN]],PRÉSTAMOS!$B:$B,PRÉSTAMOS!F:F,"")=0,"",_xlfn.XLOOKUP(Clientes[[#This Row],[IDENTIFICACIÓN]],PRÉSTAMOS!$B:$B,PRÉSTAMOS!F:F,""))</f>
        <v>B/Cañarte</v>
      </c>
      <c r="F50" t="str">
        <f>+IF(_xlfn.XLOOKUP(Clientes[[#This Row],[IDENTIFICACIÓN]],PRÉSTAMOS!$B:$B,PRÉSTAMOS!G:G,"")=0,"",_xlfn.XLOOKUP(Clientes[[#This Row],[IDENTIFICACIÓN]],PRÉSTAMOS!$B:$B,PRÉSTAMOS!G:G,""))</f>
        <v>Pereira</v>
      </c>
      <c r="G50" t="str">
        <f>+IF(_xlfn.XLOOKUP(Clientes[[#This Row],[IDENTIFICACIÓN]],PRÉSTAMOS!$B:$B,PRÉSTAMOS!H:H,"")=0,"",_xlfn.XLOOKUP(Clientes[[#This Row],[IDENTIFICACIÓN]],PRÉSTAMOS!$B:$B,PRÉSTAMOS!H:H,""))</f>
        <v>Risaralda</v>
      </c>
      <c r="H50">
        <f>+IF(_xlfn.XLOOKUP(Clientes[[#This Row],[IDENTIFICACIÓN]],PRÉSTAMOS!$B:$B,PRÉSTAMOS!I:I,"")=0,"",_xlfn.XLOOKUP(Clientes[[#This Row],[IDENTIFICACIÓN]],PRÉSTAMOS!$B:$B,PRÉSTAMOS!I:I,""))</f>
        <v>3234922685</v>
      </c>
      <c r="I50" t="str">
        <f>+IF(_xlfn.XLOOKUP(Clientes[[#This Row],[IDENTIFICACIÓN]],PRÉSTAMOS!$B:$B,PRÉSTAMOS!J:J,"")=0,"",_xlfn.XLOOKUP(Clientes[[#This Row],[IDENTIFICACIÓN]],PRÉSTAMOS!$B:$B,PRÉSTAMOS!J:J,""))</f>
        <v>jaimepereira2022@hotmail.com</v>
      </c>
    </row>
    <row r="51" spans="1:9" x14ac:dyDescent="0.25">
      <c r="A51" t="str">
        <f>+_xlfn.XLOOKUP(Clientes[[#This Row],[IDENTIFICACIÓN]],PRÉSTAMOS!$B:$B,PRÉSTAMOS!A:A)</f>
        <v>FRANCISCO ELADIO ORTIZ VALENCIA</v>
      </c>
      <c r="B51">
        <v>10083610</v>
      </c>
      <c r="C51" t="str">
        <f>+IF(_xlfn.XLOOKUP(Clientes[[#This Row],[IDENTIFICACIÓN]],PRÉSTAMOS!$B:$B,PRÉSTAMOS!C:C,"")=0,"",_xlfn.XLOOKUP(Clientes[[#This Row],[IDENTIFICACIÓN]],PRÉSTAMOS!$B:$B,PRÉSTAMOS!C:C,""))</f>
        <v>Pereira</v>
      </c>
      <c r="D51" t="str">
        <f>+IF(_xlfn.XLOOKUP(Clientes[[#This Row],[IDENTIFICACIÓN]],PRÉSTAMOS!$B:$B,PRÉSTAMOS!E:E,"")=0,"",_xlfn.XLOOKUP(Clientes[[#This Row],[IDENTIFICACIÓN]],PRÉSTAMOS!$B:$B,PRÉSTAMOS!E:E,""))</f>
        <v>Carrera 23 Bis # 72-75</v>
      </c>
      <c r="E51" t="str">
        <f>+IF(_xlfn.XLOOKUP(Clientes[[#This Row],[IDENTIFICACIÓN]],PRÉSTAMOS!$B:$B,PRÉSTAMOS!F:F,"")=0,"",_xlfn.XLOOKUP(Clientes[[#This Row],[IDENTIFICACIÓN]],PRÉSTAMOS!$B:$B,PRÉSTAMOS!F:F,""))</f>
        <v>B/Cuba</v>
      </c>
      <c r="F51" t="str">
        <f>+IF(_xlfn.XLOOKUP(Clientes[[#This Row],[IDENTIFICACIÓN]],PRÉSTAMOS!$B:$B,PRÉSTAMOS!G:G,"")=0,"",_xlfn.XLOOKUP(Clientes[[#This Row],[IDENTIFICACIÓN]],PRÉSTAMOS!$B:$B,PRÉSTAMOS!G:G,""))</f>
        <v>Pereira</v>
      </c>
      <c r="G51" t="str">
        <f>+IF(_xlfn.XLOOKUP(Clientes[[#This Row],[IDENTIFICACIÓN]],PRÉSTAMOS!$B:$B,PRÉSTAMOS!H:H,"")=0,"",_xlfn.XLOOKUP(Clientes[[#This Row],[IDENTIFICACIÓN]],PRÉSTAMOS!$B:$B,PRÉSTAMOS!H:H,""))</f>
        <v>Risaralda</v>
      </c>
      <c r="H51">
        <f>+IF(_xlfn.XLOOKUP(Clientes[[#This Row],[IDENTIFICACIÓN]],PRÉSTAMOS!$B:$B,PRÉSTAMOS!I:I,"")=0,"",_xlfn.XLOOKUP(Clientes[[#This Row],[IDENTIFICACIÓN]],PRÉSTAMOS!$B:$B,PRÉSTAMOS!I:I,""))</f>
        <v>3001390815</v>
      </c>
      <c r="I51" t="str">
        <f>+IF(_xlfn.XLOOKUP(Clientes[[#This Row],[IDENTIFICACIÓN]],PRÉSTAMOS!$B:$B,PRÉSTAMOS!J:J,"")=0,"",_xlfn.XLOOKUP(Clientes[[#This Row],[IDENTIFICACIÓN]],PRÉSTAMOS!$B:$B,PRÉSTAMOS!J:J,""))</f>
        <v>ofranciscoeladio@gmail.com</v>
      </c>
    </row>
    <row r="52" spans="1:9" x14ac:dyDescent="0.25">
      <c r="A52" t="str">
        <f>+_xlfn.XLOOKUP(Clientes[[#This Row],[IDENTIFICACIÓN]],PRÉSTAMOS!$B:$B,PRÉSTAMOS!A:A)</f>
        <v>NELLY GUTIÉRREZ GIRALDO</v>
      </c>
      <c r="B52">
        <v>29770026</v>
      </c>
      <c r="C52" t="str">
        <f>+IF(_xlfn.XLOOKUP(Clientes[[#This Row],[IDENTIFICACIÓN]],PRÉSTAMOS!$B:$B,PRÉSTAMOS!C:C,"")=0,"",_xlfn.XLOOKUP(Clientes[[#This Row],[IDENTIFICACIÓN]],PRÉSTAMOS!$B:$B,PRÉSTAMOS!C:C,""))</f>
        <v>Roldanillo</v>
      </c>
      <c r="D52" t="str">
        <f>+IF(_xlfn.XLOOKUP(Clientes[[#This Row],[IDENTIFICACIÓN]],PRÉSTAMOS!$B:$B,PRÉSTAMOS!E:E,"")=0,"",_xlfn.XLOOKUP(Clientes[[#This Row],[IDENTIFICACIÓN]],PRÉSTAMOS!$B:$B,PRÉSTAMOS!E:E,""))</f>
        <v>Carrera 6 Norte # 13-28</v>
      </c>
      <c r="E52" t="str">
        <f>+IF(_xlfn.XLOOKUP(Clientes[[#This Row],[IDENTIFICACIÓN]],PRÉSTAMOS!$B:$B,PRÉSTAMOS!F:F,"")=0,"",_xlfn.XLOOKUP(Clientes[[#This Row],[IDENTIFICACIÓN]],PRÉSTAMOS!$B:$B,PRÉSTAMOS!F:F,""))</f>
        <v>Panorama</v>
      </c>
      <c r="F52" t="str">
        <f>+IF(_xlfn.XLOOKUP(Clientes[[#This Row],[IDENTIFICACIÓN]],PRÉSTAMOS!$B:$B,PRÉSTAMOS!G:G,"")=0,"",_xlfn.XLOOKUP(Clientes[[#This Row],[IDENTIFICACIÓN]],PRÉSTAMOS!$B:$B,PRÉSTAMOS!G:G,""))</f>
        <v>Roldanillo</v>
      </c>
      <c r="G52" t="str">
        <f>+IF(_xlfn.XLOOKUP(Clientes[[#This Row],[IDENTIFICACIÓN]],PRÉSTAMOS!$B:$B,PRÉSTAMOS!H:H,"")=0,"",_xlfn.XLOOKUP(Clientes[[#This Row],[IDENTIFICACIÓN]],PRÉSTAMOS!$B:$B,PRÉSTAMOS!H:H,""))</f>
        <v>Valle del Cauca</v>
      </c>
      <c r="H52">
        <f>+IF(_xlfn.XLOOKUP(Clientes[[#This Row],[IDENTIFICACIÓN]],PRÉSTAMOS!$B:$B,PRÉSTAMOS!I:I,"")=0,"",_xlfn.XLOOKUP(Clientes[[#This Row],[IDENTIFICACIÓN]],PRÉSTAMOS!$B:$B,PRÉSTAMOS!I:I,""))</f>
        <v>3205616016</v>
      </c>
      <c r="I52" t="str">
        <f>+IF(_xlfn.XLOOKUP(Clientes[[#This Row],[IDENTIFICACIÓN]],PRÉSTAMOS!$B:$B,PRÉSTAMOS!J:J,"")=0,"",_xlfn.XLOOKUP(Clientes[[#This Row],[IDENTIFICACIÓN]],PRÉSTAMOS!$B:$B,PRÉSTAMOS!J:J,""))</f>
        <v>mariovalenciasepulveda@gmail.com</v>
      </c>
    </row>
    <row r="53" spans="1:9" x14ac:dyDescent="0.25">
      <c r="A53" t="str">
        <f>+_xlfn.XLOOKUP(Clientes[[#This Row],[IDENTIFICACIÓN]],PRÉSTAMOS!$B:$B,PRÉSTAMOS!A:A)</f>
        <v>JOSÉ DARÍO SAAVEDRA SÁNCHEZ</v>
      </c>
      <c r="B53">
        <v>10240812</v>
      </c>
      <c r="C53" t="str">
        <f>+IF(_xlfn.XLOOKUP(Clientes[[#This Row],[IDENTIFICACIÓN]],PRÉSTAMOS!$B:$B,PRÉSTAMOS!C:C,"")=0,"",_xlfn.XLOOKUP(Clientes[[#This Row],[IDENTIFICACIÓN]],PRÉSTAMOS!$B:$B,PRÉSTAMOS!C:C,""))</f>
        <v>Manizales</v>
      </c>
      <c r="D53" t="str">
        <f>+IF(_xlfn.XLOOKUP(Clientes[[#This Row],[IDENTIFICACIÓN]],PRÉSTAMOS!$B:$B,PRÉSTAMOS!E:E,"")=0,"",_xlfn.XLOOKUP(Clientes[[#This Row],[IDENTIFICACIÓN]],PRÉSTAMOS!$B:$B,PRÉSTAMOS!E:E,""))</f>
        <v>Calle 8 # 20-35 Apartamento 201</v>
      </c>
      <c r="E53" t="str">
        <f>+IF(_xlfn.XLOOKUP(Clientes[[#This Row],[IDENTIFICACIÓN]],PRÉSTAMOS!$B:$B,PRÉSTAMOS!F:F,"")=0,"",_xlfn.XLOOKUP(Clientes[[#This Row],[IDENTIFICACIÓN]],PRÉSTAMOS!$B:$B,PRÉSTAMOS!F:F,""))</f>
        <v/>
      </c>
      <c r="F53" t="str">
        <f>+IF(_xlfn.XLOOKUP(Clientes[[#This Row],[IDENTIFICACIÓN]],PRÉSTAMOS!$B:$B,PRÉSTAMOS!G:G,"")=0,"",_xlfn.XLOOKUP(Clientes[[#This Row],[IDENTIFICACIÓN]],PRÉSTAMOS!$B:$B,PRÉSTAMOS!G:G,""))</f>
        <v>Palestina</v>
      </c>
      <c r="G53" t="str">
        <f>+IF(_xlfn.XLOOKUP(Clientes[[#This Row],[IDENTIFICACIÓN]],PRÉSTAMOS!$B:$B,PRÉSTAMOS!H:H,"")=0,"",_xlfn.XLOOKUP(Clientes[[#This Row],[IDENTIFICACIÓN]],PRÉSTAMOS!$B:$B,PRÉSTAMOS!H:H,""))</f>
        <v>Caldas</v>
      </c>
      <c r="H53">
        <f>+IF(_xlfn.XLOOKUP(Clientes[[#This Row],[IDENTIFICACIÓN]],PRÉSTAMOS!$B:$B,PRÉSTAMOS!I:I,"")=0,"",_xlfn.XLOOKUP(Clientes[[#This Row],[IDENTIFICACIÓN]],PRÉSTAMOS!$B:$B,PRÉSTAMOS!I:I,""))</f>
        <v>3156376273</v>
      </c>
      <c r="I53" t="str">
        <f>+IF(_xlfn.XLOOKUP(Clientes[[#This Row],[IDENTIFICACIÓN]],PRÉSTAMOS!$B:$B,PRÉSTAMOS!J:J,"")=0,"",_xlfn.XLOOKUP(Clientes[[#This Row],[IDENTIFICACIÓN]],PRÉSTAMOS!$B:$B,PRÉSTAMOS!J:J,""))</f>
        <v>josecamilo911@gmail.com</v>
      </c>
    </row>
    <row r="54" spans="1:9" x14ac:dyDescent="0.25">
      <c r="A54" t="str">
        <f>+_xlfn.XLOOKUP(Clientes[[#This Row],[IDENTIFICACIÓN]],PRÉSTAMOS!$B:$B,PRÉSTAMOS!A:A)</f>
        <v>YAZMÍN ANDREA VÉLEZ VÁSQUEZ</v>
      </c>
      <c r="B54">
        <v>42028846</v>
      </c>
      <c r="C54" t="str">
        <f>+IF(_xlfn.XLOOKUP(Clientes[[#This Row],[IDENTIFICACIÓN]],PRÉSTAMOS!$B:$B,PRÉSTAMOS!C:C,"")=0,"",_xlfn.XLOOKUP(Clientes[[#This Row],[IDENTIFICACIÓN]],PRÉSTAMOS!$B:$B,PRÉSTAMOS!C:C,""))</f>
        <v>La Virginia</v>
      </c>
      <c r="D54" t="str">
        <f>+IF(_xlfn.XLOOKUP(Clientes[[#This Row],[IDENTIFICACIÓN]],PRÉSTAMOS!$B:$B,PRÉSTAMOS!E:E,"")=0,"",_xlfn.XLOOKUP(Clientes[[#This Row],[IDENTIFICACIÓN]],PRÉSTAMOS!$B:$B,PRÉSTAMOS!E:E,""))</f>
        <v>Calle 82 # 34-65</v>
      </c>
      <c r="E54" t="str">
        <f>+IF(_xlfn.XLOOKUP(Clientes[[#This Row],[IDENTIFICACIÓN]],PRÉSTAMOS!$B:$B,PRÉSTAMOS!F:F,"")=0,"",_xlfn.XLOOKUP(Clientes[[#This Row],[IDENTIFICACIÓN]],PRÉSTAMOS!$B:$B,PRÉSTAMOS!F:F,""))</f>
        <v>B/Batará Parque Central</v>
      </c>
      <c r="F54" t="str">
        <f>+IF(_xlfn.XLOOKUP(Clientes[[#This Row],[IDENTIFICACIÓN]],PRÉSTAMOS!$B:$B,PRÉSTAMOS!G:G,"")=0,"",_xlfn.XLOOKUP(Clientes[[#This Row],[IDENTIFICACIÓN]],PRÉSTAMOS!$B:$B,PRÉSTAMOS!G:G,""))</f>
        <v>Pereira</v>
      </c>
      <c r="G54" t="str">
        <f>+IF(_xlfn.XLOOKUP(Clientes[[#This Row],[IDENTIFICACIÓN]],PRÉSTAMOS!$B:$B,PRÉSTAMOS!H:H,"")=0,"",_xlfn.XLOOKUP(Clientes[[#This Row],[IDENTIFICACIÓN]],PRÉSTAMOS!$B:$B,PRÉSTAMOS!H:H,""))</f>
        <v>Risaralda</v>
      </c>
      <c r="H54">
        <f>+IF(_xlfn.XLOOKUP(Clientes[[#This Row],[IDENTIFICACIÓN]],PRÉSTAMOS!$B:$B,PRÉSTAMOS!I:I,"")=0,"",_xlfn.XLOOKUP(Clientes[[#This Row],[IDENTIFICACIÓN]],PRÉSTAMOS!$B:$B,PRÉSTAMOS!I:I,""))</f>
        <v>3246244802</v>
      </c>
      <c r="I54" t="str">
        <f>+IF(_xlfn.XLOOKUP(Clientes[[#This Row],[IDENTIFICACIÓN]],PRÉSTAMOS!$B:$B,PRÉSTAMOS!J:J,"")=0,"",_xlfn.XLOOKUP(Clientes[[#This Row],[IDENTIFICACIÓN]],PRÉSTAMOS!$B:$B,PRÉSTAMOS!J:J,""))</f>
        <v>andrea.velez2678@gmail.com</v>
      </c>
    </row>
    <row r="55" spans="1:9" x14ac:dyDescent="0.25">
      <c r="A55" t="str">
        <f>+_xlfn.XLOOKUP(Clientes[[#This Row],[IDENTIFICACIÓN]],PRÉSTAMOS!$B:$B,PRÉSTAMOS!A:A)</f>
        <v>CLAUDIA PATRICIA LADINO GARZÓN</v>
      </c>
      <c r="B55">
        <v>42122299</v>
      </c>
      <c r="C55" t="str">
        <f>+IF(_xlfn.XLOOKUP(Clientes[[#This Row],[IDENTIFICACIÓN]],PRÉSTAMOS!$B:$B,PRÉSTAMOS!C:C,"")=0,"",_xlfn.XLOOKUP(Clientes[[#This Row],[IDENTIFICACIÓN]],PRÉSTAMOS!$B:$B,PRÉSTAMOS!C:C,""))</f>
        <v>Pereira</v>
      </c>
      <c r="D55" t="str">
        <f>+IF(_xlfn.XLOOKUP(Clientes[[#This Row],[IDENTIFICACIÓN]],PRÉSTAMOS!$B:$B,PRÉSTAMOS!E:E,"")=0,"",_xlfn.XLOOKUP(Clientes[[#This Row],[IDENTIFICACIÓN]],PRÉSTAMOS!$B:$B,PRÉSTAMOS!E:E,""))</f>
        <v>Manzana 2 Casa 16</v>
      </c>
      <c r="E55" t="str">
        <f>+IF(_xlfn.XLOOKUP(Clientes[[#This Row],[IDENTIFICACIÓN]],PRÉSTAMOS!$B:$B,PRÉSTAMOS!F:F,"")=0,"",_xlfn.XLOOKUP(Clientes[[#This Row],[IDENTIFICACIÓN]],PRÉSTAMOS!$B:$B,PRÉSTAMOS!F:F,""))</f>
        <v>B/Mirador de Naranjito</v>
      </c>
      <c r="F55" t="str">
        <f>+IF(_xlfn.XLOOKUP(Clientes[[#This Row],[IDENTIFICACIÓN]],PRÉSTAMOS!$B:$B,PRÉSTAMOS!G:G,"")=0,"",_xlfn.XLOOKUP(Clientes[[#This Row],[IDENTIFICACIÓN]],PRÉSTAMOS!$B:$B,PRÉSTAMOS!G:G,""))</f>
        <v>Pereira</v>
      </c>
      <c r="G55" t="str">
        <f>+IF(_xlfn.XLOOKUP(Clientes[[#This Row],[IDENTIFICACIÓN]],PRÉSTAMOS!$B:$B,PRÉSTAMOS!H:H,"")=0,"",_xlfn.XLOOKUP(Clientes[[#This Row],[IDENTIFICACIÓN]],PRÉSTAMOS!$B:$B,PRÉSTAMOS!H:H,""))</f>
        <v>Risaralda</v>
      </c>
      <c r="H55">
        <f>+IF(_xlfn.XLOOKUP(Clientes[[#This Row],[IDENTIFICACIÓN]],PRÉSTAMOS!$B:$B,PRÉSTAMOS!I:I,"")=0,"",_xlfn.XLOOKUP(Clientes[[#This Row],[IDENTIFICACIÓN]],PRÉSTAMOS!$B:$B,PRÉSTAMOS!I:I,""))</f>
        <v>3137478289</v>
      </c>
      <c r="I55" t="str">
        <f>+IF(_xlfn.XLOOKUP(Clientes[[#This Row],[IDENTIFICACIÓN]],PRÉSTAMOS!$B:$B,PRÉSTAMOS!J:J,"")=0,"",_xlfn.XLOOKUP(Clientes[[#This Row],[IDENTIFICACIÓN]],PRÉSTAMOS!$B:$B,PRÉSTAMOS!J:J,""))</f>
        <v>claudia.ladino@hotmail.com</v>
      </c>
    </row>
    <row r="56" spans="1:9" x14ac:dyDescent="0.25">
      <c r="A56" t="str">
        <f>+_xlfn.XLOOKUP(Clientes[[#This Row],[IDENTIFICACIÓN]],PRÉSTAMOS!$B:$B,PRÉSTAMOS!A:A)</f>
        <v>BLANCA AMALIA GARZÓN DE LADINO</v>
      </c>
      <c r="B56">
        <v>28527446</v>
      </c>
      <c r="C56" t="str">
        <f>+IF(_xlfn.XLOOKUP(Clientes[[#This Row],[IDENTIFICACIÓN]],PRÉSTAMOS!$B:$B,PRÉSTAMOS!C:C,"")=0,"",_xlfn.XLOOKUP(Clientes[[#This Row],[IDENTIFICACIÓN]],PRÉSTAMOS!$B:$B,PRÉSTAMOS!C:C,""))</f>
        <v>Ibagué</v>
      </c>
      <c r="D56" t="str">
        <f>+IF(_xlfn.XLOOKUP(Clientes[[#This Row],[IDENTIFICACIÓN]],PRÉSTAMOS!$B:$B,PRÉSTAMOS!E:E,"")=0,"",_xlfn.XLOOKUP(Clientes[[#This Row],[IDENTIFICACIÓN]],PRÉSTAMOS!$B:$B,PRÉSTAMOS!E:E,""))</f>
        <v>Manzana 2 Casa 16</v>
      </c>
      <c r="E56" t="str">
        <f>+IF(_xlfn.XLOOKUP(Clientes[[#This Row],[IDENTIFICACIÓN]],PRÉSTAMOS!$B:$B,PRÉSTAMOS!F:F,"")=0,"",_xlfn.XLOOKUP(Clientes[[#This Row],[IDENTIFICACIÓN]],PRÉSTAMOS!$B:$B,PRÉSTAMOS!F:F,""))</f>
        <v>B/Mirador de Naranjito</v>
      </c>
      <c r="F56" t="str">
        <f>+IF(_xlfn.XLOOKUP(Clientes[[#This Row],[IDENTIFICACIÓN]],PRÉSTAMOS!$B:$B,PRÉSTAMOS!G:G,"")=0,"",_xlfn.XLOOKUP(Clientes[[#This Row],[IDENTIFICACIÓN]],PRÉSTAMOS!$B:$B,PRÉSTAMOS!G:G,""))</f>
        <v>Pereira</v>
      </c>
      <c r="G56" t="str">
        <f>+IF(_xlfn.XLOOKUP(Clientes[[#This Row],[IDENTIFICACIÓN]],PRÉSTAMOS!$B:$B,PRÉSTAMOS!H:H,"")=0,"",_xlfn.XLOOKUP(Clientes[[#This Row],[IDENTIFICACIÓN]],PRÉSTAMOS!$B:$B,PRÉSTAMOS!H:H,""))</f>
        <v>Risaralda</v>
      </c>
      <c r="H56">
        <f>+IF(_xlfn.XLOOKUP(Clientes[[#This Row],[IDENTIFICACIÓN]],PRÉSTAMOS!$B:$B,PRÉSTAMOS!I:I,"")=0,"",_xlfn.XLOOKUP(Clientes[[#This Row],[IDENTIFICACIÓN]],PRÉSTAMOS!$B:$B,PRÉSTAMOS!I:I,""))</f>
        <v>3137490869</v>
      </c>
      <c r="I56" t="str">
        <f>+IF(_xlfn.XLOOKUP(Clientes[[#This Row],[IDENTIFICACIÓN]],PRÉSTAMOS!$B:$B,PRÉSTAMOS!J:J,"")=0,"",_xlfn.XLOOKUP(Clientes[[#This Row],[IDENTIFICACIÓN]],PRÉSTAMOS!$B:$B,PRÉSTAMOS!J:J,""))</f>
        <v>blanca.garzon446@casur.gov.co</v>
      </c>
    </row>
    <row r="57" spans="1:9" x14ac:dyDescent="0.25">
      <c r="A57" t="str">
        <f>+_xlfn.XLOOKUP(Clientes[[#This Row],[IDENTIFICACIÓN]],PRÉSTAMOS!$B:$B,PRÉSTAMOS!A:A)</f>
        <v>NORA LEANDRA ORREGO HERRERA</v>
      </c>
      <c r="B57">
        <v>42143697</v>
      </c>
      <c r="C57" t="str">
        <f>+IF(_xlfn.XLOOKUP(Clientes[[#This Row],[IDENTIFICACIÓN]],PRÉSTAMOS!$B:$B,PRÉSTAMOS!C:C,"")=0,"",_xlfn.XLOOKUP(Clientes[[#This Row],[IDENTIFICACIÓN]],PRÉSTAMOS!$B:$B,PRÉSTAMOS!C:C,""))</f>
        <v>Pereira</v>
      </c>
      <c r="D57" t="str">
        <f>+IF(_xlfn.XLOOKUP(Clientes[[#This Row],[IDENTIFICACIÓN]],PRÉSTAMOS!$B:$B,PRÉSTAMOS!E:E,"")=0,"",_xlfn.XLOOKUP(Clientes[[#This Row],[IDENTIFICACIÓN]],PRÉSTAMOS!$B:$B,PRÉSTAMOS!E:E,""))</f>
        <v>Manzana 25 Casa 413</v>
      </c>
      <c r="E57" t="str">
        <f>+IF(_xlfn.XLOOKUP(Clientes[[#This Row],[IDENTIFICACIÓN]],PRÉSTAMOS!$B:$B,PRÉSTAMOS!F:F,"")=0,"",_xlfn.XLOOKUP(Clientes[[#This Row],[IDENTIFICACIÓN]],PRÉSTAMOS!$B:$B,PRÉSTAMOS!F:F,""))</f>
        <v>B/Las Mercedes Cuba</v>
      </c>
      <c r="F57" t="str">
        <f>+IF(_xlfn.XLOOKUP(Clientes[[#This Row],[IDENTIFICACIÓN]],PRÉSTAMOS!$B:$B,PRÉSTAMOS!G:G,"")=0,"",_xlfn.XLOOKUP(Clientes[[#This Row],[IDENTIFICACIÓN]],PRÉSTAMOS!$B:$B,PRÉSTAMOS!G:G,""))</f>
        <v>Pereira</v>
      </c>
      <c r="G57" t="str">
        <f>+IF(_xlfn.XLOOKUP(Clientes[[#This Row],[IDENTIFICACIÓN]],PRÉSTAMOS!$B:$B,PRÉSTAMOS!H:H,"")=0,"",_xlfn.XLOOKUP(Clientes[[#This Row],[IDENTIFICACIÓN]],PRÉSTAMOS!$B:$B,PRÉSTAMOS!H:H,""))</f>
        <v>Risaralda</v>
      </c>
      <c r="H57">
        <f>+IF(_xlfn.XLOOKUP(Clientes[[#This Row],[IDENTIFICACIÓN]],PRÉSTAMOS!$B:$B,PRÉSTAMOS!I:I,"")=0,"",_xlfn.XLOOKUP(Clientes[[#This Row],[IDENTIFICACIÓN]],PRÉSTAMOS!$B:$B,PRÉSTAMOS!I:I,""))</f>
        <v>3127200926</v>
      </c>
      <c r="I57" t="str">
        <f>+IF(_xlfn.XLOOKUP(Clientes[[#This Row],[IDENTIFICACIÓN]],PRÉSTAMOS!$B:$B,PRÉSTAMOS!J:J,"")=0,"",_xlfn.XLOOKUP(Clientes[[#This Row],[IDENTIFICACIÓN]],PRÉSTAMOS!$B:$B,PRÉSTAMOS!J:J,""))</f>
        <v>monajoka12@gmail.com</v>
      </c>
    </row>
    <row r="58" spans="1:9" x14ac:dyDescent="0.25">
      <c r="A58" t="str">
        <f>+_xlfn.XLOOKUP(Clientes[[#This Row],[IDENTIFICACIÓN]],PRÉSTAMOS!$B:$B,PRÉSTAMOS!A:A)</f>
        <v>ARCÁNGEL DE JESÚS RÍOS CASTRO</v>
      </c>
      <c r="B58">
        <v>4350487</v>
      </c>
      <c r="C58" t="str">
        <f>+IF(_xlfn.XLOOKUP(Clientes[[#This Row],[IDENTIFICACIÓN]],PRÉSTAMOS!$B:$B,PRÉSTAMOS!C:C,"")=0,"",_xlfn.XLOOKUP(Clientes[[#This Row],[IDENTIFICACIÓN]],PRÉSTAMOS!$B:$B,PRÉSTAMOS!C:C,""))</f>
        <v>Apia</v>
      </c>
      <c r="D58" t="str">
        <f>+IF(_xlfn.XLOOKUP(Clientes[[#This Row],[IDENTIFICACIÓN]],PRÉSTAMOS!$B:$B,PRÉSTAMOS!E:E,"")=0,"",_xlfn.XLOOKUP(Clientes[[#This Row],[IDENTIFICACIÓN]],PRÉSTAMOS!$B:$B,PRÉSTAMOS!E:E,""))</f>
        <v>Calle 6 # 9-04</v>
      </c>
      <c r="E58" t="str">
        <f>+IF(_xlfn.XLOOKUP(Clientes[[#This Row],[IDENTIFICACIÓN]],PRÉSTAMOS!$B:$B,PRÉSTAMOS!F:F,"")=0,"",_xlfn.XLOOKUP(Clientes[[#This Row],[IDENTIFICACIÓN]],PRÉSTAMOS!$B:$B,PRÉSTAMOS!F:F,""))</f>
        <v>B/San Cayetano Centro</v>
      </c>
      <c r="F58" t="str">
        <f>+IF(_xlfn.XLOOKUP(Clientes[[#This Row],[IDENTIFICACIÓN]],PRÉSTAMOS!$B:$B,PRÉSTAMOS!G:G,"")=0,"",_xlfn.XLOOKUP(Clientes[[#This Row],[IDENTIFICACIÓN]],PRÉSTAMOS!$B:$B,PRÉSTAMOS!G:G,""))</f>
        <v>La Virginia</v>
      </c>
      <c r="G58" t="str">
        <f>+IF(_xlfn.XLOOKUP(Clientes[[#This Row],[IDENTIFICACIÓN]],PRÉSTAMOS!$B:$B,PRÉSTAMOS!H:H,"")=0,"",_xlfn.XLOOKUP(Clientes[[#This Row],[IDENTIFICACIÓN]],PRÉSTAMOS!$B:$B,PRÉSTAMOS!H:H,""))</f>
        <v>Risaralda</v>
      </c>
      <c r="H58">
        <f>+IF(_xlfn.XLOOKUP(Clientes[[#This Row],[IDENTIFICACIÓN]],PRÉSTAMOS!$B:$B,PRÉSTAMOS!I:I,"")=0,"",_xlfn.XLOOKUP(Clientes[[#This Row],[IDENTIFICACIÓN]],PRÉSTAMOS!$B:$B,PRÉSTAMOS!I:I,""))</f>
        <v>3116241504</v>
      </c>
      <c r="I58" t="str">
        <f>+IF(_xlfn.XLOOKUP(Clientes[[#This Row],[IDENTIFICACIÓN]],PRÉSTAMOS!$B:$B,PRÉSTAMOS!J:J,"")=0,"",_xlfn.XLOOKUP(Clientes[[#This Row],[IDENTIFICACIÓN]],PRÉSTAMOS!$B:$B,PRÉSTAMOS!J:J,""))</f>
        <v>rioscastroarcangel@gmail.com</v>
      </c>
    </row>
    <row r="59" spans="1:9" x14ac:dyDescent="0.25">
      <c r="A59" t="str">
        <f>+_xlfn.XLOOKUP(Clientes[[#This Row],[IDENTIFICACIÓN]],PRÉSTAMOS!$B:$B,PRÉSTAMOS!A:A)</f>
        <v>JAIME RAMÍREZ OSPINA</v>
      </c>
      <c r="B59">
        <v>10060779</v>
      </c>
      <c r="C59" t="str">
        <f>+IF(_xlfn.XLOOKUP(Clientes[[#This Row],[IDENTIFICACIÓN]],PRÉSTAMOS!$B:$B,PRÉSTAMOS!C:C,"")=0,"",_xlfn.XLOOKUP(Clientes[[#This Row],[IDENTIFICACIÓN]],PRÉSTAMOS!$B:$B,PRÉSTAMOS!C:C,""))</f>
        <v>Pereira</v>
      </c>
      <c r="D59" t="str">
        <f>+IF(_xlfn.XLOOKUP(Clientes[[#This Row],[IDENTIFICACIÓN]],PRÉSTAMOS!$B:$B,PRÉSTAMOS!E:E,"")=0,"",_xlfn.XLOOKUP(Clientes[[#This Row],[IDENTIFICACIÓN]],PRÉSTAMOS!$B:$B,PRÉSTAMOS!E:E,""))</f>
        <v>Manzana 20 Casa 29</v>
      </c>
      <c r="E59" t="str">
        <f>+IF(_xlfn.XLOOKUP(Clientes[[#This Row],[IDENTIFICACIÓN]],PRÉSTAMOS!$B:$B,PRÉSTAMOS!F:F,"")=0,"",_xlfn.XLOOKUP(Clientes[[#This Row],[IDENTIFICACIÓN]],PRÉSTAMOS!$B:$B,PRÉSTAMOS!F:F,""))</f>
        <v>B/Campestre A</v>
      </c>
      <c r="F59" t="str">
        <f>+IF(_xlfn.XLOOKUP(Clientes[[#This Row],[IDENTIFICACIÓN]],PRÉSTAMOS!$B:$B,PRÉSTAMOS!G:G,"")=0,"",_xlfn.XLOOKUP(Clientes[[#This Row],[IDENTIFICACIÓN]],PRÉSTAMOS!$B:$B,PRÉSTAMOS!G:G,""))</f>
        <v>Dosquebradas</v>
      </c>
      <c r="G59" t="str">
        <f>+IF(_xlfn.XLOOKUP(Clientes[[#This Row],[IDENTIFICACIÓN]],PRÉSTAMOS!$B:$B,PRÉSTAMOS!H:H,"")=0,"",_xlfn.XLOOKUP(Clientes[[#This Row],[IDENTIFICACIÓN]],PRÉSTAMOS!$B:$B,PRÉSTAMOS!H:H,""))</f>
        <v>Risaralda</v>
      </c>
      <c r="H59">
        <f>+IF(_xlfn.XLOOKUP(Clientes[[#This Row],[IDENTIFICACIÓN]],PRÉSTAMOS!$B:$B,PRÉSTAMOS!I:I,"")=0,"",_xlfn.XLOOKUP(Clientes[[#This Row],[IDENTIFICACIÓN]],PRÉSTAMOS!$B:$B,PRÉSTAMOS!I:I,""))</f>
        <v>3178487073</v>
      </c>
      <c r="I59" t="str">
        <f>+IF(_xlfn.XLOOKUP(Clientes[[#This Row],[IDENTIFICACIÓN]],PRÉSTAMOS!$B:$B,PRÉSTAMOS!J:J,"")=0,"",_xlfn.XLOOKUP(Clientes[[#This Row],[IDENTIFICACIÓN]],PRÉSTAMOS!$B:$B,PRÉSTAMOS!J:J,""))</f>
        <v>jaimeramirezospina133@gmail.com</v>
      </c>
    </row>
    <row r="60" spans="1:9" x14ac:dyDescent="0.25">
      <c r="A60" t="str">
        <f>+_xlfn.XLOOKUP(Clientes[[#This Row],[IDENTIFICACIÓN]],PRÉSTAMOS!$B:$B,PRÉSTAMOS!A:A)</f>
        <v>MARÍA DE LOS ÁNGELES RUIZ PINO</v>
      </c>
      <c r="B60">
        <v>1089721086</v>
      </c>
      <c r="C60" t="str">
        <f>+IF(_xlfn.XLOOKUP(Clientes[[#This Row],[IDENTIFICACIÓN]],PRÉSTAMOS!$B:$B,PRÉSTAMOS!C:C,"")=0,"",_xlfn.XLOOKUP(Clientes[[#This Row],[IDENTIFICACIÓN]],PRÉSTAMOS!$B:$B,PRÉSTAMOS!C:C,""))</f>
        <v>Guática</v>
      </c>
      <c r="D60" t="str">
        <f>+IF(_xlfn.XLOOKUP(Clientes[[#This Row],[IDENTIFICACIÓN]],PRÉSTAMOS!$B:$B,PRÉSTAMOS!E:E,"")=0,"",_xlfn.XLOOKUP(Clientes[[#This Row],[IDENTIFICACIÓN]],PRÉSTAMOS!$B:$B,PRÉSTAMOS!E:E,""))</f>
        <v>Manzana 1 Casa 11 Piso 2</v>
      </c>
      <c r="E60" t="str">
        <f>+IF(_xlfn.XLOOKUP(Clientes[[#This Row],[IDENTIFICACIÓN]],PRÉSTAMOS!$B:$B,PRÉSTAMOS!F:F,"")=0,"",_xlfn.XLOOKUP(Clientes[[#This Row],[IDENTIFICACIÓN]],PRÉSTAMOS!$B:$B,PRÉSTAMOS!F:F,""))</f>
        <v>B/Altos de Santa Mónica</v>
      </c>
      <c r="F60" t="str">
        <f>+IF(_xlfn.XLOOKUP(Clientes[[#This Row],[IDENTIFICACIÓN]],PRÉSTAMOS!$B:$B,PRÉSTAMOS!G:G,"")=0,"",_xlfn.XLOOKUP(Clientes[[#This Row],[IDENTIFICACIÓN]],PRÉSTAMOS!$B:$B,PRÉSTAMOS!G:G,""))</f>
        <v>Dosquebradas</v>
      </c>
      <c r="G60" t="str">
        <f>+IF(_xlfn.XLOOKUP(Clientes[[#This Row],[IDENTIFICACIÓN]],PRÉSTAMOS!$B:$B,PRÉSTAMOS!H:H,"")=0,"",_xlfn.XLOOKUP(Clientes[[#This Row],[IDENTIFICACIÓN]],PRÉSTAMOS!$B:$B,PRÉSTAMOS!H:H,""))</f>
        <v>Risaralda</v>
      </c>
      <c r="H60">
        <f>+IF(_xlfn.XLOOKUP(Clientes[[#This Row],[IDENTIFICACIÓN]],PRÉSTAMOS!$B:$B,PRÉSTAMOS!I:I,"")=0,"",_xlfn.XLOOKUP(Clientes[[#This Row],[IDENTIFICACIÓN]],PRÉSTAMOS!$B:$B,PRÉSTAMOS!I:I,""))</f>
        <v>3229231452</v>
      </c>
      <c r="I60" t="str">
        <f>+IF(_xlfn.XLOOKUP(Clientes[[#This Row],[IDENTIFICACIÓN]],PRÉSTAMOS!$B:$B,PRÉSTAMOS!J:J,"")=0,"",_xlfn.XLOOKUP(Clientes[[#This Row],[IDENTIFICACIÓN]],PRÉSTAMOS!$B:$B,PRÉSTAMOS!J:J,""))</f>
        <v>maru-pino@hotmail.es</v>
      </c>
    </row>
    <row r="61" spans="1:9" x14ac:dyDescent="0.25">
      <c r="A61" t="str">
        <f>+_xlfn.XLOOKUP(Clientes[[#This Row],[IDENTIFICACIÓN]],PRÉSTAMOS!$B:$B,PRÉSTAMOS!A:A)</f>
        <v>PAOLA ANDREA CASTAÑEDA DAZA</v>
      </c>
      <c r="B61">
        <v>33819492</v>
      </c>
      <c r="C61" t="str">
        <f>+IF(_xlfn.XLOOKUP(Clientes[[#This Row],[IDENTIFICACIÓN]],PRÉSTAMOS!$B:$B,PRÉSTAMOS!C:C,"")=0,"",_xlfn.XLOOKUP(Clientes[[#This Row],[IDENTIFICACIÓN]],PRÉSTAMOS!$B:$B,PRÉSTAMOS!C:C,""))</f>
        <v>Calarcá</v>
      </c>
      <c r="D61" t="str">
        <f>+IF(_xlfn.XLOOKUP(Clientes[[#This Row],[IDENTIFICACIÓN]],PRÉSTAMOS!$B:$B,PRÉSTAMOS!E:E,"")=0,"",_xlfn.XLOOKUP(Clientes[[#This Row],[IDENTIFICACIÓN]],PRÉSTAMOS!$B:$B,PRÉSTAMOS!E:E,""))</f>
        <v>Manzana B casa 20</v>
      </c>
      <c r="E61" t="str">
        <f>+IF(_xlfn.XLOOKUP(Clientes[[#This Row],[IDENTIFICACIÓN]],PRÉSTAMOS!$B:$B,PRÉSTAMOS!F:F,"")=0,"",_xlfn.XLOOKUP(Clientes[[#This Row],[IDENTIFICACIÓN]],PRÉSTAMOS!$B:$B,PRÉSTAMOS!F:F,""))</f>
        <v>B/Gaitán</v>
      </c>
      <c r="F61" t="str">
        <f>+IF(_xlfn.XLOOKUP(Clientes[[#This Row],[IDENTIFICACIÓN]],PRÉSTAMOS!$B:$B,PRÉSTAMOS!G:G,"")=0,"",_xlfn.XLOOKUP(Clientes[[#This Row],[IDENTIFICACIÓN]],PRÉSTAMOS!$B:$B,PRÉSTAMOS!G:G,""))</f>
        <v>Calarcá</v>
      </c>
      <c r="G61" t="str">
        <f>+IF(_xlfn.XLOOKUP(Clientes[[#This Row],[IDENTIFICACIÓN]],PRÉSTAMOS!$B:$B,PRÉSTAMOS!H:H,"")=0,"",_xlfn.XLOOKUP(Clientes[[#This Row],[IDENTIFICACIÓN]],PRÉSTAMOS!$B:$B,PRÉSTAMOS!H:H,""))</f>
        <v>Quindío</v>
      </c>
      <c r="H61">
        <f>+IF(_xlfn.XLOOKUP(Clientes[[#This Row],[IDENTIFICACIÓN]],PRÉSTAMOS!$B:$B,PRÉSTAMOS!I:I,"")=0,"",_xlfn.XLOOKUP(Clientes[[#This Row],[IDENTIFICACIÓN]],PRÉSTAMOS!$B:$B,PRÉSTAMOS!I:I,""))</f>
        <v>3172351253</v>
      </c>
      <c r="I61" t="str">
        <f>+IF(_xlfn.XLOOKUP(Clientes[[#This Row],[IDENTIFICACIÓN]],PRÉSTAMOS!$B:$B,PRÉSTAMOS!J:J,"")=0,"",_xlfn.XLOOKUP(Clientes[[#This Row],[IDENTIFICACIÓN]],PRÉSTAMOS!$B:$B,PRÉSTAMOS!J:J,""))</f>
        <v>paolaann@hotmail.com</v>
      </c>
    </row>
    <row r="62" spans="1:9" x14ac:dyDescent="0.25">
      <c r="A62" t="str">
        <f>+_xlfn.XLOOKUP(Clientes[[#This Row],[IDENTIFICACIÓN]],PRÉSTAMOS!$B:$B,PRÉSTAMOS!A:A)</f>
        <v>BLANCA ELVIRA HERRERA BETANCURT</v>
      </c>
      <c r="B62">
        <v>42053061</v>
      </c>
      <c r="C62" t="str">
        <f>+IF(_xlfn.XLOOKUP(Clientes[[#This Row],[IDENTIFICACIÓN]],PRÉSTAMOS!$B:$B,PRÉSTAMOS!C:C,"")=0,"",_xlfn.XLOOKUP(Clientes[[#This Row],[IDENTIFICACIÓN]],PRÉSTAMOS!$B:$B,PRÉSTAMOS!C:C,""))</f>
        <v>Pereira</v>
      </c>
      <c r="D62" t="str">
        <f>+IF(_xlfn.XLOOKUP(Clientes[[#This Row],[IDENTIFICACIÓN]],PRÉSTAMOS!$B:$B,PRÉSTAMOS!E:E,"")=0,"",_xlfn.XLOOKUP(Clientes[[#This Row],[IDENTIFICACIÓN]],PRÉSTAMOS!$B:$B,PRÉSTAMOS!E:E,""))</f>
        <v>Manzana 22 Casa 461</v>
      </c>
      <c r="E62" t="str">
        <f>+IF(_xlfn.XLOOKUP(Clientes[[#This Row],[IDENTIFICACIÓN]],PRÉSTAMOS!$B:$B,PRÉSTAMOS!F:F,"")=0,"",_xlfn.XLOOKUP(Clientes[[#This Row],[IDENTIFICACIÓN]],PRÉSTAMOS!$B:$B,PRÉSTAMOS!F:F,""))</f>
        <v>B/Las Mercedes Cuba</v>
      </c>
      <c r="F62" t="str">
        <f>+IF(_xlfn.XLOOKUP(Clientes[[#This Row],[IDENTIFICACIÓN]],PRÉSTAMOS!$B:$B,PRÉSTAMOS!G:G,"")=0,"",_xlfn.XLOOKUP(Clientes[[#This Row],[IDENTIFICACIÓN]],PRÉSTAMOS!$B:$B,PRÉSTAMOS!G:G,""))</f>
        <v>Pereira</v>
      </c>
      <c r="G62" t="str">
        <f>+IF(_xlfn.XLOOKUP(Clientes[[#This Row],[IDENTIFICACIÓN]],PRÉSTAMOS!$B:$B,PRÉSTAMOS!H:H,"")=0,"",_xlfn.XLOOKUP(Clientes[[#This Row],[IDENTIFICACIÓN]],PRÉSTAMOS!$B:$B,PRÉSTAMOS!H:H,""))</f>
        <v>Risaralda</v>
      </c>
      <c r="H62">
        <f>+IF(_xlfn.XLOOKUP(Clientes[[#This Row],[IDENTIFICACIÓN]],PRÉSTAMOS!$B:$B,PRÉSTAMOS!I:I,"")=0,"",_xlfn.XLOOKUP(Clientes[[#This Row],[IDENTIFICACIÓN]],PRÉSTAMOS!$B:$B,PRÉSTAMOS!I:I,""))</f>
        <v>3142979836</v>
      </c>
      <c r="I62" t="str">
        <f>+IF(_xlfn.XLOOKUP(Clientes[[#This Row],[IDENTIFICACIÓN]],PRÉSTAMOS!$B:$B,PRÉSTAMOS!J:J,"")=0,"",_xlfn.XLOOKUP(Clientes[[#This Row],[IDENTIFICACIÓN]],PRÉSTAMOS!$B:$B,PRÉSTAMOS!J:J,""))</f>
        <v>monajoka12@gmail.com</v>
      </c>
    </row>
    <row r="63" spans="1:9" x14ac:dyDescent="0.25">
      <c r="A63" t="str">
        <f>+_xlfn.XLOOKUP(Clientes[[#This Row],[IDENTIFICACIÓN]],PRÉSTAMOS!$B:$B,PRÉSTAMOS!A:A)</f>
        <v>FABIO DE JESÚS DUQUE VALENCIA</v>
      </c>
      <c r="B63">
        <v>10100068</v>
      </c>
      <c r="C63" t="str">
        <f>+IF(_xlfn.XLOOKUP(Clientes[[#This Row],[IDENTIFICACIÓN]],PRÉSTAMOS!$B:$B,PRÉSTAMOS!C:C,"")=0,"",_xlfn.XLOOKUP(Clientes[[#This Row],[IDENTIFICACIÓN]],PRÉSTAMOS!$B:$B,PRÉSTAMOS!C:C,""))</f>
        <v>Pereira</v>
      </c>
      <c r="D63" t="str">
        <f>+IF(_xlfn.XLOOKUP(Clientes[[#This Row],[IDENTIFICACIÓN]],PRÉSTAMOS!$B:$B,PRÉSTAMOS!E:E,"")=0,"",_xlfn.XLOOKUP(Clientes[[#This Row],[IDENTIFICACIÓN]],PRÉSTAMOS!$B:$B,PRÉSTAMOS!E:E,""))</f>
        <v>Vía Cerritos Pereira entrada 12 casa 12</v>
      </c>
      <c r="E63" t="str">
        <f>+IF(_xlfn.XLOOKUP(Clientes[[#This Row],[IDENTIFICACIÓN]],PRÉSTAMOS!$B:$B,PRÉSTAMOS!F:F,"")=0,"",_xlfn.XLOOKUP(Clientes[[#This Row],[IDENTIFICACIÓN]],PRÉSTAMOS!$B:$B,PRÉSTAMOS!F:F,""))</f>
        <v>Urb. Los Pízamos</v>
      </c>
      <c r="F63" t="str">
        <f>+IF(_xlfn.XLOOKUP(Clientes[[#This Row],[IDENTIFICACIÓN]],PRÉSTAMOS!$B:$B,PRÉSTAMOS!G:G,"")=0,"",_xlfn.XLOOKUP(Clientes[[#This Row],[IDENTIFICACIÓN]],PRÉSTAMOS!$B:$B,PRÉSTAMOS!G:G,""))</f>
        <v>Pereira</v>
      </c>
      <c r="G63" t="str">
        <f>+IF(_xlfn.XLOOKUP(Clientes[[#This Row],[IDENTIFICACIÓN]],PRÉSTAMOS!$B:$B,PRÉSTAMOS!H:H,"")=0,"",_xlfn.XLOOKUP(Clientes[[#This Row],[IDENTIFICACIÓN]],PRÉSTAMOS!$B:$B,PRÉSTAMOS!H:H,""))</f>
        <v>Risaralda</v>
      </c>
      <c r="H63">
        <f>+IF(_xlfn.XLOOKUP(Clientes[[#This Row],[IDENTIFICACIÓN]],PRÉSTAMOS!$B:$B,PRÉSTAMOS!I:I,"")=0,"",_xlfn.XLOOKUP(Clientes[[#This Row],[IDENTIFICACIÓN]],PRÉSTAMOS!$B:$B,PRÉSTAMOS!I:I,""))</f>
        <v>3153332180</v>
      </c>
      <c r="I63" t="str">
        <f>+IF(_xlfn.XLOOKUP(Clientes[[#This Row],[IDENTIFICACIÓN]],PRÉSTAMOS!$B:$B,PRÉSTAMOS!J:J,"")=0,"",_xlfn.XLOOKUP(Clientes[[#This Row],[IDENTIFICACIÓN]],PRÉSTAMOS!$B:$B,PRÉSTAMOS!J:J,""))</f>
        <v>fabioduquev@gmail.com</v>
      </c>
    </row>
    <row r="64" spans="1:9" x14ac:dyDescent="0.25">
      <c r="A64" t="str">
        <f>+_xlfn.XLOOKUP(Clientes[[#This Row],[IDENTIFICACIÓN]],PRÉSTAMOS!$B:$B,PRÉSTAMOS!A:A)</f>
        <v>MARIA CONSUELO VINASCO CASTRO</v>
      </c>
      <c r="B64">
        <v>25056635</v>
      </c>
      <c r="C64" t="str">
        <f>+IF(_xlfn.XLOOKUP(Clientes[[#This Row],[IDENTIFICACIÓN]],PRÉSTAMOS!$B:$B,PRÉSTAMOS!C:C,"")=0,"",_xlfn.XLOOKUP(Clientes[[#This Row],[IDENTIFICACIÓN]],PRÉSTAMOS!$B:$B,PRÉSTAMOS!C:C,""))</f>
        <v>RIOSUCIO</v>
      </c>
      <c r="D64" t="str">
        <f>+IF(_xlfn.XLOOKUP(Clientes[[#This Row],[IDENTIFICACIÓN]],PRÉSTAMOS!$B:$B,PRÉSTAMOS!E:E,"")=0,"",_xlfn.XLOOKUP(Clientes[[#This Row],[IDENTIFICACIÓN]],PRÉSTAMOS!$B:$B,PRÉSTAMOS!E:E,""))</f>
        <v xml:space="preserve">Manzana 21 Casa 25 </v>
      </c>
      <c r="E64" t="str">
        <f>+IF(_xlfn.XLOOKUP(Clientes[[#This Row],[IDENTIFICACIÓN]],PRÉSTAMOS!$B:$B,PRÉSTAMOS!F:F,"")=0,"",_xlfn.XLOOKUP(Clientes[[#This Row],[IDENTIFICACIÓN]],PRÉSTAMOS!$B:$B,PRÉSTAMOS!F:F,""))</f>
        <v>Mirador de Llano Grande</v>
      </c>
      <c r="F64" t="str">
        <f>+IF(_xlfn.XLOOKUP(Clientes[[#This Row],[IDENTIFICACIÓN]],PRÉSTAMOS!$B:$B,PRÉSTAMOS!G:G,"")=0,"",_xlfn.XLOOKUP(Clientes[[#This Row],[IDENTIFICACIÓN]],PRÉSTAMOS!$B:$B,PRÉSTAMOS!G:G,""))</f>
        <v>Pereira</v>
      </c>
      <c r="G64" t="str">
        <f>+IF(_xlfn.XLOOKUP(Clientes[[#This Row],[IDENTIFICACIÓN]],PRÉSTAMOS!$B:$B,PRÉSTAMOS!H:H,"")=0,"",_xlfn.XLOOKUP(Clientes[[#This Row],[IDENTIFICACIÓN]],PRÉSTAMOS!$B:$B,PRÉSTAMOS!H:H,""))</f>
        <v>Risaralda</v>
      </c>
      <c r="H64">
        <f>+IF(_xlfn.XLOOKUP(Clientes[[#This Row],[IDENTIFICACIÓN]],PRÉSTAMOS!$B:$B,PRÉSTAMOS!I:I,"")=0,"",_xlfn.XLOOKUP(Clientes[[#This Row],[IDENTIFICACIÓN]],PRÉSTAMOS!$B:$B,PRÉSTAMOS!I:I,""))</f>
        <v>3144045290</v>
      </c>
      <c r="I64" t="str">
        <f>+IF(_xlfn.XLOOKUP(Clientes[[#This Row],[IDENTIFICACIÓN]],PRÉSTAMOS!$B:$B,PRÉSTAMOS!J:J,"")=0,"",_xlfn.XLOOKUP(Clientes[[#This Row],[IDENTIFICACIÓN]],PRÉSTAMOS!$B:$B,PRÉSTAMOS!J:J,""))</f>
        <v>consuelito0459@hotmail.com</v>
      </c>
    </row>
    <row r="65" spans="1:9" x14ac:dyDescent="0.25">
      <c r="A65" t="str">
        <f>+_xlfn.XLOOKUP(Clientes[[#This Row],[IDENTIFICACIÓN]],PRÉSTAMOS!$B:$B,PRÉSTAMOS!A:A)</f>
        <v>ÁLVARO HERNÁN CAMBINDO MINA</v>
      </c>
      <c r="B65">
        <v>94227972</v>
      </c>
      <c r="C65" t="str">
        <f>+IF(_xlfn.XLOOKUP(Clientes[[#This Row],[IDENTIFICACIÓN]],PRÉSTAMOS!$B:$B,PRÉSTAMOS!C:C,"")=0,"",_xlfn.XLOOKUP(Clientes[[#This Row],[IDENTIFICACIÓN]],PRÉSTAMOS!$B:$B,PRÉSTAMOS!C:C,""))</f>
        <v>Zarzal</v>
      </c>
      <c r="D65" t="str">
        <f>+IF(_xlfn.XLOOKUP(Clientes[[#This Row],[IDENTIFICACIÓN]],PRÉSTAMOS!$B:$B,PRÉSTAMOS!E:E,"")=0,"",_xlfn.XLOOKUP(Clientes[[#This Row],[IDENTIFICACIÓN]],PRÉSTAMOS!$B:$B,PRÉSTAMOS!E:E,""))</f>
        <v xml:space="preserve">Calle 15 # 12-95 </v>
      </c>
      <c r="E65" t="str">
        <f>+IF(_xlfn.XLOOKUP(Clientes[[#This Row],[IDENTIFICACIÓN]],PRÉSTAMOS!$B:$B,PRÉSTAMOS!F:F,"")=0,"",_xlfn.XLOOKUP(Clientes[[#This Row],[IDENTIFICACIÓN]],PRÉSTAMOS!$B:$B,PRÉSTAMOS!F:F,""))</f>
        <v xml:space="preserve">B/Las Mercedes  </v>
      </c>
      <c r="F65" t="str">
        <f>+IF(_xlfn.XLOOKUP(Clientes[[#This Row],[IDENTIFICACIÓN]],PRÉSTAMOS!$B:$B,PRÉSTAMOS!G:G,"")=0,"",_xlfn.XLOOKUP(Clientes[[#This Row],[IDENTIFICACIÓN]],PRÉSTAMOS!$B:$B,PRÉSTAMOS!G:G,""))</f>
        <v>Zarzal</v>
      </c>
      <c r="G65" t="str">
        <f>+IF(_xlfn.XLOOKUP(Clientes[[#This Row],[IDENTIFICACIÓN]],PRÉSTAMOS!$B:$B,PRÉSTAMOS!H:H,"")=0,"",_xlfn.XLOOKUP(Clientes[[#This Row],[IDENTIFICACIÓN]],PRÉSTAMOS!$B:$B,PRÉSTAMOS!H:H,""))</f>
        <v>Valle del Cauca</v>
      </c>
      <c r="H65">
        <f>+IF(_xlfn.XLOOKUP(Clientes[[#This Row],[IDENTIFICACIÓN]],PRÉSTAMOS!$B:$B,PRÉSTAMOS!I:I,"")=0,"",_xlfn.XLOOKUP(Clientes[[#This Row],[IDENTIFICACIÓN]],PRÉSTAMOS!$B:$B,PRÉSTAMOS!I:I,""))</f>
        <v>3104294417</v>
      </c>
      <c r="I65" t="str">
        <f>+IF(_xlfn.XLOOKUP(Clientes[[#This Row],[IDENTIFICACIÓN]],PRÉSTAMOS!$B:$B,PRÉSTAMOS!J:J,"")=0,"",_xlfn.XLOOKUP(Clientes[[#This Row],[IDENTIFICACIÓN]],PRÉSTAMOS!$B:$B,PRÉSTAMOS!J:J,""))</f>
        <v>alvarocambindo09@gmail.com</v>
      </c>
    </row>
    <row r="66" spans="1:9" x14ac:dyDescent="0.25">
      <c r="A66" t="str">
        <f>+_xlfn.XLOOKUP(Clientes[[#This Row],[IDENTIFICACIÓN]],PRÉSTAMOS!$B:$B,PRÉSTAMOS!A:A)</f>
        <v>ABELARDO ANTONIO CALLE</v>
      </c>
      <c r="B66">
        <v>9955716</v>
      </c>
      <c r="C66" t="str">
        <f>+IF(_xlfn.XLOOKUP(Clientes[[#This Row],[IDENTIFICACIÓN]],PRÉSTAMOS!$B:$B,PRÉSTAMOS!C:C,"")=0,"",_xlfn.XLOOKUP(Clientes[[#This Row],[IDENTIFICACIÓN]],PRÉSTAMOS!$B:$B,PRÉSTAMOS!C:C,""))</f>
        <v>Santuario</v>
      </c>
      <c r="D66" t="str">
        <f>+IF(_xlfn.XLOOKUP(Clientes[[#This Row],[IDENTIFICACIÓN]],PRÉSTAMOS!$B:$B,PRÉSTAMOS!E:E,"")=0,"",_xlfn.XLOOKUP(Clientes[[#This Row],[IDENTIFICACIÓN]],PRÉSTAMOS!$B:$B,PRÉSTAMOS!E:E,""))</f>
        <v>Calle 36 # 6B-08</v>
      </c>
      <c r="E66" t="str">
        <f>+IF(_xlfn.XLOOKUP(Clientes[[#This Row],[IDENTIFICACIÓN]],PRÉSTAMOS!$B:$B,PRÉSTAMOS!F:F,"")=0,"",_xlfn.XLOOKUP(Clientes[[#This Row],[IDENTIFICACIÓN]],PRÉSTAMOS!$B:$B,PRÉSTAMOS!F:F,""))</f>
        <v>B/1 de Febrero</v>
      </c>
      <c r="F66" t="str">
        <f>+IF(_xlfn.XLOOKUP(Clientes[[#This Row],[IDENTIFICACIÓN]],PRÉSTAMOS!$B:$B,PRÉSTAMOS!G:G,"")=0,"",_xlfn.XLOOKUP(Clientes[[#This Row],[IDENTIFICACIÓN]],PRÉSTAMOS!$B:$B,PRÉSTAMOS!G:G,""))</f>
        <v>Pereira</v>
      </c>
      <c r="G66" t="str">
        <f>+IF(_xlfn.XLOOKUP(Clientes[[#This Row],[IDENTIFICACIÓN]],PRÉSTAMOS!$B:$B,PRÉSTAMOS!H:H,"")=0,"",_xlfn.XLOOKUP(Clientes[[#This Row],[IDENTIFICACIÓN]],PRÉSTAMOS!$B:$B,PRÉSTAMOS!H:H,""))</f>
        <v>Risaralda</v>
      </c>
      <c r="H66">
        <f>+IF(_xlfn.XLOOKUP(Clientes[[#This Row],[IDENTIFICACIÓN]],PRÉSTAMOS!$B:$B,PRÉSTAMOS!I:I,"")=0,"",_xlfn.XLOOKUP(Clientes[[#This Row],[IDENTIFICACIÓN]],PRÉSTAMOS!$B:$B,PRÉSTAMOS!I:I,""))</f>
        <v>3114088034</v>
      </c>
      <c r="I66" t="str">
        <f>+IF(_xlfn.XLOOKUP(Clientes[[#This Row],[IDENTIFICACIÓN]],PRÉSTAMOS!$B:$B,PRÉSTAMOS!J:J,"")=0,"",_xlfn.XLOOKUP(Clientes[[#This Row],[IDENTIFICACIÓN]],PRÉSTAMOS!$B:$B,PRÉSTAMOS!J:J,""))</f>
        <v>acalle6701@hotmail.com</v>
      </c>
    </row>
    <row r="67" spans="1:9" x14ac:dyDescent="0.25">
      <c r="A67" t="str">
        <f>+_xlfn.XLOOKUP(Clientes[[#This Row],[IDENTIFICACIÓN]],PRÉSTAMOS!$B:$B,PRÉSTAMOS!A:A)</f>
        <v>ALVARO PEREZ MURIEL</v>
      </c>
      <c r="B67">
        <v>10095572</v>
      </c>
      <c r="C67" t="str">
        <f>+IF(_xlfn.XLOOKUP(Clientes[[#This Row],[IDENTIFICACIÓN]],PRÉSTAMOS!$B:$B,PRÉSTAMOS!C:C,"")=0,"",_xlfn.XLOOKUP(Clientes[[#This Row],[IDENTIFICACIÓN]],PRÉSTAMOS!$B:$B,PRÉSTAMOS!C:C,""))</f>
        <v>Pereira</v>
      </c>
      <c r="D67" t="str">
        <f>+IF(_xlfn.XLOOKUP(Clientes[[#This Row],[IDENTIFICACIÓN]],PRÉSTAMOS!$B:$B,PRÉSTAMOS!E:E,"")=0,"",_xlfn.XLOOKUP(Clientes[[#This Row],[IDENTIFICACIÓN]],PRÉSTAMOS!$B:$B,PRÉSTAMOS!E:E,""))</f>
        <v>Carrera 3 #23-29</v>
      </c>
      <c r="E67" t="str">
        <f>+IF(_xlfn.XLOOKUP(Clientes[[#This Row],[IDENTIFICACIÓN]],PRÉSTAMOS!$B:$B,PRÉSTAMOS!F:F,"")=0,"",_xlfn.XLOOKUP(Clientes[[#This Row],[IDENTIFICACIÓN]],PRÉSTAMOS!$B:$B,PRÉSTAMOS!F:F,""))</f>
        <v>B/ San Jorge</v>
      </c>
      <c r="F67" t="str">
        <f>+IF(_xlfn.XLOOKUP(Clientes[[#This Row],[IDENTIFICACIÓN]],PRÉSTAMOS!$B:$B,PRÉSTAMOS!G:G,"")=0,"",_xlfn.XLOOKUP(Clientes[[#This Row],[IDENTIFICACIÓN]],PRÉSTAMOS!$B:$B,PRÉSTAMOS!G:G,""))</f>
        <v>Pereira</v>
      </c>
      <c r="G67" t="str">
        <f>+IF(_xlfn.XLOOKUP(Clientes[[#This Row],[IDENTIFICACIÓN]],PRÉSTAMOS!$B:$B,PRÉSTAMOS!H:H,"")=0,"",_xlfn.XLOOKUP(Clientes[[#This Row],[IDENTIFICACIÓN]],PRÉSTAMOS!$B:$B,PRÉSTAMOS!H:H,""))</f>
        <v>Risaralda</v>
      </c>
      <c r="H67">
        <f>+IF(_xlfn.XLOOKUP(Clientes[[#This Row],[IDENTIFICACIÓN]],PRÉSTAMOS!$B:$B,PRÉSTAMOS!I:I,"")=0,"",_xlfn.XLOOKUP(Clientes[[#This Row],[IDENTIFICACIÓN]],PRÉSTAMOS!$B:$B,PRÉSTAMOS!I:I,""))</f>
        <v>3042315593</v>
      </c>
      <c r="I67" t="str">
        <f>+IF(_xlfn.XLOOKUP(Clientes[[#This Row],[IDENTIFICACIÓN]],PRÉSTAMOS!$B:$B,PRÉSTAMOS!J:J,"")=0,"",_xlfn.XLOOKUP(Clientes[[#This Row],[IDENTIFICACIÓN]],PRÉSTAMOS!$B:$B,PRÉSTAMOS!J:J,""))</f>
        <v>alvaroperezpereira2023@gmail.com</v>
      </c>
    </row>
    <row r="68" spans="1:9" x14ac:dyDescent="0.25">
      <c r="A68" t="str">
        <f>+_xlfn.XLOOKUP(Clientes[[#This Row],[IDENTIFICACIÓN]],PRÉSTAMOS!$B:$B,PRÉSTAMOS!A:A)</f>
        <v>JUAN DAVID VALENCIA GONZÁLEZ</v>
      </c>
      <c r="B68">
        <v>10032573</v>
      </c>
      <c r="C68" t="str">
        <f>+IF(_xlfn.XLOOKUP(Clientes[[#This Row],[IDENTIFICACIÓN]],PRÉSTAMOS!$B:$B,PRÉSTAMOS!C:C,"")=0,"",_xlfn.XLOOKUP(Clientes[[#This Row],[IDENTIFICACIÓN]],PRÉSTAMOS!$B:$B,PRÉSTAMOS!C:C,""))</f>
        <v>Pereira</v>
      </c>
      <c r="D68" t="str">
        <f>+IF(_xlfn.XLOOKUP(Clientes[[#This Row],[IDENTIFICACIÓN]],PRÉSTAMOS!$B:$B,PRÉSTAMOS!E:E,"")=0,"",_xlfn.XLOOKUP(Clientes[[#This Row],[IDENTIFICACIÓN]],PRÉSTAMOS!$B:$B,PRÉSTAMOS!E:E,""))</f>
        <v>Km. 4 vía a Armenia frente al motel Casablanca</v>
      </c>
      <c r="E68" t="str">
        <f>+IF(_xlfn.XLOOKUP(Clientes[[#This Row],[IDENTIFICACIÓN]],PRÉSTAMOS!$B:$B,PRÉSTAMOS!F:F,"")=0,"",_xlfn.XLOOKUP(Clientes[[#This Row],[IDENTIFICACIÓN]],PRÉSTAMOS!$B:$B,PRÉSTAMOS!F:F,""))</f>
        <v/>
      </c>
      <c r="F68" t="str">
        <f>+IF(_xlfn.XLOOKUP(Clientes[[#This Row],[IDENTIFICACIÓN]],PRÉSTAMOS!$B:$B,PRÉSTAMOS!G:G,"")=0,"",_xlfn.XLOOKUP(Clientes[[#This Row],[IDENTIFICACIÓN]],PRÉSTAMOS!$B:$B,PRÉSTAMOS!G:G,""))</f>
        <v>Pereira</v>
      </c>
      <c r="G68" t="str">
        <f>+IF(_xlfn.XLOOKUP(Clientes[[#This Row],[IDENTIFICACIÓN]],PRÉSTAMOS!$B:$B,PRÉSTAMOS!H:H,"")=0,"",_xlfn.XLOOKUP(Clientes[[#This Row],[IDENTIFICACIÓN]],PRÉSTAMOS!$B:$B,PRÉSTAMOS!H:H,""))</f>
        <v>Risaralda</v>
      </c>
      <c r="H68">
        <f>+IF(_xlfn.XLOOKUP(Clientes[[#This Row],[IDENTIFICACIÓN]],PRÉSTAMOS!$B:$B,PRÉSTAMOS!I:I,"")=0,"",_xlfn.XLOOKUP(Clientes[[#This Row],[IDENTIFICACIÓN]],PRÉSTAMOS!$B:$B,PRÉSTAMOS!I:I,""))</f>
        <v>3175027748</v>
      </c>
      <c r="I68" t="str">
        <f>+IF(_xlfn.XLOOKUP(Clientes[[#This Row],[IDENTIFICACIÓN]],PRÉSTAMOS!$B:$B,PRÉSTAMOS!J:J,"")=0,"",_xlfn.XLOOKUP(Clientes[[#This Row],[IDENTIFICACIÓN]],PRÉSTAMOS!$B:$B,PRÉSTAMOS!J:J,""))</f>
        <v>juandavidelpatron2020@gmail.com</v>
      </c>
    </row>
    <row r="69" spans="1:9" x14ac:dyDescent="0.25">
      <c r="A69" t="str">
        <f>+_xlfn.XLOOKUP(Clientes[[#This Row],[IDENTIFICACIÓN]],PRÉSTAMOS!$B:$B,PRÉSTAMOS!A:A)</f>
        <v>JOSE UBERTINO RIVAS GONZALEZ</v>
      </c>
      <c r="B69">
        <v>82382954</v>
      </c>
      <c r="C69" t="str">
        <f>+IF(_xlfn.XLOOKUP(Clientes[[#This Row],[IDENTIFICACIÓN]],PRÉSTAMOS!$B:$B,PRÉSTAMOS!C:C,"")=0,"",_xlfn.XLOOKUP(Clientes[[#This Row],[IDENTIFICACIÓN]],PRÉSTAMOS!$B:$B,PRÉSTAMOS!C:C,""))</f>
        <v>Istmina</v>
      </c>
      <c r="D69" t="str">
        <f>+IF(_xlfn.XLOOKUP(Clientes[[#This Row],[IDENTIFICACIÓN]],PRÉSTAMOS!$B:$B,PRÉSTAMOS!E:E,"")=0,"",_xlfn.XLOOKUP(Clientes[[#This Row],[IDENTIFICACIÓN]],PRÉSTAMOS!$B:$B,PRÉSTAMOS!E:E,""))</f>
        <v>Calle 27 #8-40</v>
      </c>
      <c r="E69" t="str">
        <f>+IF(_xlfn.XLOOKUP(Clientes[[#This Row],[IDENTIFICACIÓN]],PRÉSTAMOS!$B:$B,PRÉSTAMOS!F:F,"")=0,"",_xlfn.XLOOKUP(Clientes[[#This Row],[IDENTIFICACIÓN]],PRÉSTAMOS!$B:$B,PRÉSTAMOS!F:F,""))</f>
        <v>Garibaldy</v>
      </c>
      <c r="F69" t="str">
        <f>+IF(_xlfn.XLOOKUP(Clientes[[#This Row],[IDENTIFICACIÓN]],PRÉSTAMOS!$B:$B,PRÉSTAMOS!G:G,"")=0,"",_xlfn.XLOOKUP(Clientes[[#This Row],[IDENTIFICACIÓN]],PRÉSTAMOS!$B:$B,PRÉSTAMOS!G:G,""))</f>
        <v>Pereira</v>
      </c>
      <c r="G69" t="str">
        <f>+IF(_xlfn.XLOOKUP(Clientes[[#This Row],[IDENTIFICACIÓN]],PRÉSTAMOS!$B:$B,PRÉSTAMOS!H:H,"")=0,"",_xlfn.XLOOKUP(Clientes[[#This Row],[IDENTIFICACIÓN]],PRÉSTAMOS!$B:$B,PRÉSTAMOS!H:H,""))</f>
        <v>Risaralda</v>
      </c>
      <c r="H69">
        <f>+IF(_xlfn.XLOOKUP(Clientes[[#This Row],[IDENTIFICACIÓN]],PRÉSTAMOS!$B:$B,PRÉSTAMOS!I:I,"")=0,"",_xlfn.XLOOKUP(Clientes[[#This Row],[IDENTIFICACIÓN]],PRÉSTAMOS!$B:$B,PRÉSTAMOS!I:I,""))</f>
        <v>3133099874</v>
      </c>
      <c r="I69" t="str">
        <f>+IF(_xlfn.XLOOKUP(Clientes[[#This Row],[IDENTIFICACIÓN]],PRÉSTAMOS!$B:$B,PRÉSTAMOS!J:J,"")=0,"",_xlfn.XLOOKUP(Clientes[[#This Row],[IDENTIFICACIÓN]],PRÉSTAMOS!$B:$B,PRÉSTAMOS!J:J,""))</f>
        <v>grancombo05@gmail.com</v>
      </c>
    </row>
    <row r="70" spans="1:9" x14ac:dyDescent="0.25">
      <c r="A70" t="str">
        <f>+_xlfn.XLOOKUP(Clientes[[#This Row],[IDENTIFICACIÓN]],PRÉSTAMOS!$B:$B,PRÉSTAMOS!A:A)</f>
        <v>ALFONSO EDUARDO BOTERO RENGIFO</v>
      </c>
      <c r="B70">
        <v>10090181</v>
      </c>
      <c r="C70" t="str">
        <f>+IF(_xlfn.XLOOKUP(Clientes[[#This Row],[IDENTIFICACIÓN]],PRÉSTAMOS!$B:$B,PRÉSTAMOS!C:C,"")=0,"",_xlfn.XLOOKUP(Clientes[[#This Row],[IDENTIFICACIÓN]],PRÉSTAMOS!$B:$B,PRÉSTAMOS!C:C,""))</f>
        <v>Pereira</v>
      </c>
      <c r="D70" t="str">
        <f>+IF(_xlfn.XLOOKUP(Clientes[[#This Row],[IDENTIFICACIÓN]],PRÉSTAMOS!$B:$B,PRÉSTAMOS!E:E,"")=0,"",_xlfn.XLOOKUP(Clientes[[#This Row],[IDENTIFICACIÓN]],PRÉSTAMOS!$B:$B,PRÉSTAMOS!E:E,""))</f>
        <v>Carrera 7 Bis # 5A-65</v>
      </c>
      <c r="E70" t="str">
        <f>+IF(_xlfn.XLOOKUP(Clientes[[#This Row],[IDENTIFICACIÓN]],PRÉSTAMOS!$B:$B,PRÉSTAMOS!F:F,"")=0,"",_xlfn.XLOOKUP(Clientes[[#This Row],[IDENTIFICACIÓN]],PRÉSTAMOS!$B:$B,PRÉSTAMOS!F:F,""))</f>
        <v>La Trinidad</v>
      </c>
      <c r="F70" t="str">
        <f>+IF(_xlfn.XLOOKUP(Clientes[[#This Row],[IDENTIFICACIÓN]],PRÉSTAMOS!$B:$B,PRÉSTAMOS!G:G,"")=0,"",_xlfn.XLOOKUP(Clientes[[#This Row],[IDENTIFICACIÓN]],PRÉSTAMOS!$B:$B,PRÉSTAMOS!G:G,""))</f>
        <v>Pereira</v>
      </c>
      <c r="G70" t="str">
        <f>+IF(_xlfn.XLOOKUP(Clientes[[#This Row],[IDENTIFICACIÓN]],PRÉSTAMOS!$B:$B,PRÉSTAMOS!H:H,"")=0,"",_xlfn.XLOOKUP(Clientes[[#This Row],[IDENTIFICACIÓN]],PRÉSTAMOS!$B:$B,PRÉSTAMOS!H:H,""))</f>
        <v>Risaralda</v>
      </c>
      <c r="H70" t="str">
        <f>+IF(_xlfn.XLOOKUP(Clientes[[#This Row],[IDENTIFICACIÓN]],PRÉSTAMOS!$B:$B,PRÉSTAMOS!I:I,"")=0,"",_xlfn.XLOOKUP(Clientes[[#This Row],[IDENTIFICACIÓN]],PRÉSTAMOS!$B:$B,PRÉSTAMOS!I:I,""))</f>
        <v>3196827531-6063349161</v>
      </c>
      <c r="I70" t="str">
        <f>+IF(_xlfn.XLOOKUP(Clientes[[#This Row],[IDENTIFICACIÓN]],PRÉSTAMOS!$B:$B,PRÉSTAMOS!J:J,"")=0,"",_xlfn.XLOOKUP(Clientes[[#This Row],[IDENTIFICACIÓN]],PRÉSTAMOS!$B:$B,PRÉSTAMOS!J:J,""))</f>
        <v>boteroalfonoso830@gmail.com</v>
      </c>
    </row>
    <row r="71" spans="1:9" x14ac:dyDescent="0.25">
      <c r="A71" t="str">
        <f>+_xlfn.XLOOKUP(Clientes[[#This Row],[IDENTIFICACIÓN]],PRÉSTAMOS!$B:$B,PRÉSTAMOS!A:A)</f>
        <v>MARIA ROSALBA HENAO ECHEVERRI</v>
      </c>
      <c r="B71">
        <v>24929445</v>
      </c>
      <c r="C71" t="str">
        <f>+IF(_xlfn.XLOOKUP(Clientes[[#This Row],[IDENTIFICACIÓN]],PRÉSTAMOS!$B:$B,PRÉSTAMOS!C:C,"")=0,"",_xlfn.XLOOKUP(Clientes[[#This Row],[IDENTIFICACIÓN]],PRÉSTAMOS!$B:$B,PRÉSTAMOS!C:C,""))</f>
        <v>Pereira</v>
      </c>
      <c r="D71" t="str">
        <f>+IF(_xlfn.XLOOKUP(Clientes[[#This Row],[IDENTIFICACIÓN]],PRÉSTAMOS!$B:$B,PRÉSTAMOS!E:E,"")=0,"",_xlfn.XLOOKUP(Clientes[[#This Row],[IDENTIFICACIÓN]],PRÉSTAMOS!$B:$B,PRÉSTAMOS!E:E,""))</f>
        <v>Carrera 15 #171-38</v>
      </c>
      <c r="E71" t="str">
        <f>+IF(_xlfn.XLOOKUP(Clientes[[#This Row],[IDENTIFICACIÓN]],PRÉSTAMOS!$B:$B,PRÉSTAMOS!F:F,"")=0,"",_xlfn.XLOOKUP(Clientes[[#This Row],[IDENTIFICACIÓN]],PRÉSTAMOS!$B:$B,PRÉSTAMOS!F:F,""))</f>
        <v>La Esperanza</v>
      </c>
      <c r="F71" t="str">
        <f>+IF(_xlfn.XLOOKUP(Clientes[[#This Row],[IDENTIFICACIÓN]],PRÉSTAMOS!$B:$B,PRÉSTAMOS!G:G,"")=0,"",_xlfn.XLOOKUP(Clientes[[#This Row],[IDENTIFICACIÓN]],PRÉSTAMOS!$B:$B,PRÉSTAMOS!G:G,""))</f>
        <v>Pereira</v>
      </c>
      <c r="G71" t="str">
        <f>+IF(_xlfn.XLOOKUP(Clientes[[#This Row],[IDENTIFICACIÓN]],PRÉSTAMOS!$B:$B,PRÉSTAMOS!H:H,"")=0,"",_xlfn.XLOOKUP(Clientes[[#This Row],[IDENTIFICACIÓN]],PRÉSTAMOS!$B:$B,PRÉSTAMOS!H:H,""))</f>
        <v>Risaralda</v>
      </c>
      <c r="H71">
        <f>+IF(_xlfn.XLOOKUP(Clientes[[#This Row],[IDENTIFICACIÓN]],PRÉSTAMOS!$B:$B,PRÉSTAMOS!I:I,"")=0,"",_xlfn.XLOOKUP(Clientes[[#This Row],[IDENTIFICACIÓN]],PRÉSTAMOS!$B:$B,PRÉSTAMOS!I:I,""))</f>
        <v>3104454479</v>
      </c>
      <c r="I71" t="str">
        <f>+IF(_xlfn.XLOOKUP(Clientes[[#This Row],[IDENTIFICACIÓN]],PRÉSTAMOS!$B:$B,PRÉSTAMOS!J:J,"")=0,"",_xlfn.XLOOKUP(Clientes[[#This Row],[IDENTIFICACIÓN]],PRÉSTAMOS!$B:$B,PRÉSTAMOS!J:J,""))</f>
        <v>henaomariarosalba@gmail.com</v>
      </c>
    </row>
    <row r="72" spans="1:9" x14ac:dyDescent="0.25">
      <c r="A72" t="str">
        <f>+_xlfn.XLOOKUP(Clientes[[#This Row],[IDENTIFICACIÓN]],PRÉSTAMOS!$B:$B,PRÉSTAMOS!A:A)</f>
        <v>NELSON ALBEIRO HINCHIMA CHANTRE</v>
      </c>
      <c r="B72">
        <v>94376844</v>
      </c>
      <c r="C72" t="str">
        <f>+IF(_xlfn.XLOOKUP(Clientes[[#This Row],[IDENTIFICACIÓN]],PRÉSTAMOS!$B:$B,PRÉSTAMOS!C:C,"")=0,"",_xlfn.XLOOKUP(Clientes[[#This Row],[IDENTIFICACIÓN]],PRÉSTAMOS!$B:$B,PRÉSTAMOS!C:C,""))</f>
        <v>Cali</v>
      </c>
      <c r="D72" t="str">
        <f>+IF(_xlfn.XLOOKUP(Clientes[[#This Row],[IDENTIFICACIÓN]],PRÉSTAMOS!$B:$B,PRÉSTAMOS!E:E,"")=0,"",_xlfn.XLOOKUP(Clientes[[#This Row],[IDENTIFICACIÓN]],PRÉSTAMOS!$B:$B,PRÉSTAMOS!E:E,""))</f>
        <v>Calle 12 #14-09</v>
      </c>
      <c r="E72" t="str">
        <f>+IF(_xlfn.XLOOKUP(Clientes[[#This Row],[IDENTIFICACIÓN]],PRÉSTAMOS!$B:$B,PRÉSTAMOS!F:F,"")=0,"",_xlfn.XLOOKUP(Clientes[[#This Row],[IDENTIFICACIÓN]],PRÉSTAMOS!$B:$B,PRÉSTAMOS!F:F,""))</f>
        <v/>
      </c>
      <c r="F72" t="str">
        <f>+IF(_xlfn.XLOOKUP(Clientes[[#This Row],[IDENTIFICACIÓN]],PRÉSTAMOS!$B:$B,PRÉSTAMOS!G:G,"")=0,"",_xlfn.XLOOKUP(Clientes[[#This Row],[IDENTIFICACIÓN]],PRÉSTAMOS!$B:$B,PRÉSTAMOS!G:G,""))</f>
        <v>Zarzal</v>
      </c>
      <c r="G72" t="str">
        <f>+IF(_xlfn.XLOOKUP(Clientes[[#This Row],[IDENTIFICACIÓN]],PRÉSTAMOS!$B:$B,PRÉSTAMOS!H:H,"")=0,"",_xlfn.XLOOKUP(Clientes[[#This Row],[IDENTIFICACIÓN]],PRÉSTAMOS!$B:$B,PRÉSTAMOS!H:H,""))</f>
        <v>Valle del Cauca</v>
      </c>
      <c r="H72">
        <f>+IF(_xlfn.XLOOKUP(Clientes[[#This Row],[IDENTIFICACIÓN]],PRÉSTAMOS!$B:$B,PRÉSTAMOS!I:I,"")=0,"",_xlfn.XLOOKUP(Clientes[[#This Row],[IDENTIFICACIÓN]],PRÉSTAMOS!$B:$B,PRÉSTAMOS!I:I,""))</f>
        <v>3147573399</v>
      </c>
      <c r="I72" t="str">
        <f>+IF(_xlfn.XLOOKUP(Clientes[[#This Row],[IDENTIFICACIÓN]],PRÉSTAMOS!$B:$B,PRÉSTAMOS!J:J,"")=0,"",_xlfn.XLOOKUP(Clientes[[#This Row],[IDENTIFICACIÓN]],PRÉSTAMOS!$B:$B,PRÉSTAMOS!J:J,""))</f>
        <v>nelsonhinchima123@gmail.com</v>
      </c>
    </row>
    <row r="73" spans="1:9" x14ac:dyDescent="0.25">
      <c r="A73" t="str">
        <f>+_xlfn.XLOOKUP(Clientes[[#This Row],[IDENTIFICACIÓN]],PRÉSTAMOS!$B:$B,PRÉSTAMOS!A:A)</f>
        <v>ÉDGAR SÁNCHEZ ARIZA</v>
      </c>
      <c r="B73">
        <v>13895026</v>
      </c>
      <c r="C73" t="str">
        <f>+IF(_xlfn.XLOOKUP(Clientes[[#This Row],[IDENTIFICACIÓN]],PRÉSTAMOS!$B:$B,PRÉSTAMOS!C:C,"")=0,"",_xlfn.XLOOKUP(Clientes[[#This Row],[IDENTIFICACIÓN]],PRÉSTAMOS!$B:$B,PRÉSTAMOS!C:C,""))</f>
        <v>Velez</v>
      </c>
      <c r="D73" t="str">
        <f>+IF(_xlfn.XLOOKUP(Clientes[[#This Row],[IDENTIFICACIÓN]],PRÉSTAMOS!$B:$B,PRÉSTAMOS!E:E,"")=0,"",_xlfn.XLOOKUP(Clientes[[#This Row],[IDENTIFICACIÓN]],PRÉSTAMOS!$B:$B,PRÉSTAMOS!E:E,""))</f>
        <v>Carrera 10 # 11-52</v>
      </c>
      <c r="E73" t="str">
        <f>+IF(_xlfn.XLOOKUP(Clientes[[#This Row],[IDENTIFICACIÓN]],PRÉSTAMOS!$B:$B,PRÉSTAMOS!F:F,"")=0,"",_xlfn.XLOOKUP(Clientes[[#This Row],[IDENTIFICACIÓN]],PRÉSTAMOS!$B:$B,PRÉSTAMOS!F:F,""))</f>
        <v>El Motor</v>
      </c>
      <c r="F73" t="str">
        <f>+IF(_xlfn.XLOOKUP(Clientes[[#This Row],[IDENTIFICACIÓN]],PRÉSTAMOS!$B:$B,PRÉSTAMOS!G:G,"")=0,"",_xlfn.XLOOKUP(Clientes[[#This Row],[IDENTIFICACIÓN]],PRÉSTAMOS!$B:$B,PRÉSTAMOS!G:G,""))</f>
        <v>Viterbo</v>
      </c>
      <c r="G73" t="str">
        <f>+IF(_xlfn.XLOOKUP(Clientes[[#This Row],[IDENTIFICACIÓN]],PRÉSTAMOS!$B:$B,PRÉSTAMOS!H:H,"")=0,"",_xlfn.XLOOKUP(Clientes[[#This Row],[IDENTIFICACIÓN]],PRÉSTAMOS!$B:$B,PRÉSTAMOS!H:H,""))</f>
        <v>Caldas</v>
      </c>
      <c r="H73">
        <f>+IF(_xlfn.XLOOKUP(Clientes[[#This Row],[IDENTIFICACIÓN]],PRÉSTAMOS!$B:$B,PRÉSTAMOS!I:I,"")=0,"",_xlfn.XLOOKUP(Clientes[[#This Row],[IDENTIFICACIÓN]],PRÉSTAMOS!$B:$B,PRÉSTAMOS!I:I,""))</f>
        <v>3128317488</v>
      </c>
      <c r="I73" t="str">
        <f>+IF(_xlfn.XLOOKUP(Clientes[[#This Row],[IDENTIFICACIÓN]],PRÉSTAMOS!$B:$B,PRÉSTAMOS!J:J,"")=0,"",_xlfn.XLOOKUP(Clientes[[#This Row],[IDENTIFICACIÓN]],PRÉSTAMOS!$B:$B,PRÉSTAMOS!J:J,""))</f>
        <v>edgarsanchez70@hotmail.com</v>
      </c>
    </row>
    <row r="74" spans="1:9" x14ac:dyDescent="0.25">
      <c r="A74" t="str">
        <f>+_xlfn.XLOOKUP(Clientes[[#This Row],[IDENTIFICACIÓN]],PRÉSTAMOS!$B:$B,PRÉSTAMOS!A:A)</f>
        <v>AURORA MONCADA LOAIZA</v>
      </c>
      <c r="B74">
        <v>42057042</v>
      </c>
      <c r="C74" t="str">
        <f>+IF(_xlfn.XLOOKUP(Clientes[[#This Row],[IDENTIFICACIÓN]],PRÉSTAMOS!$B:$B,PRÉSTAMOS!C:C,"")=0,"",_xlfn.XLOOKUP(Clientes[[#This Row],[IDENTIFICACIÓN]],PRÉSTAMOS!$B:$B,PRÉSTAMOS!C:C,""))</f>
        <v>Pereira</v>
      </c>
      <c r="D74" t="str">
        <f>+IF(_xlfn.XLOOKUP(Clientes[[#This Row],[IDENTIFICACIÓN]],PRÉSTAMOS!$B:$B,PRÉSTAMOS!E:E,"")=0,"",_xlfn.XLOOKUP(Clientes[[#This Row],[IDENTIFICACIÓN]],PRÉSTAMOS!$B:$B,PRÉSTAMOS!E:E,""))</f>
        <v>Altagracia</v>
      </c>
      <c r="E74" t="str">
        <f>+IF(_xlfn.XLOOKUP(Clientes[[#This Row],[IDENTIFICACIÓN]],PRÉSTAMOS!$B:$B,PRÉSTAMOS!F:F,"")=0,"",_xlfn.XLOOKUP(Clientes[[#This Row],[IDENTIFICACIÓN]],PRÉSTAMOS!$B:$B,PRÉSTAMOS!F:F,""))</f>
        <v>Vereda Coralia</v>
      </c>
      <c r="F74" t="str">
        <f>+IF(_xlfn.XLOOKUP(Clientes[[#This Row],[IDENTIFICACIÓN]],PRÉSTAMOS!$B:$B,PRÉSTAMOS!G:G,"")=0,"",_xlfn.XLOOKUP(Clientes[[#This Row],[IDENTIFICACIÓN]],PRÉSTAMOS!$B:$B,PRÉSTAMOS!G:G,""))</f>
        <v>Pereira</v>
      </c>
      <c r="G74" t="str">
        <f>+IF(_xlfn.XLOOKUP(Clientes[[#This Row],[IDENTIFICACIÓN]],PRÉSTAMOS!$B:$B,PRÉSTAMOS!H:H,"")=0,"",_xlfn.XLOOKUP(Clientes[[#This Row],[IDENTIFICACIÓN]],PRÉSTAMOS!$B:$B,PRÉSTAMOS!H:H,""))</f>
        <v>Risaralda</v>
      </c>
      <c r="H74">
        <f>+IF(_xlfn.XLOOKUP(Clientes[[#This Row],[IDENTIFICACIÓN]],PRÉSTAMOS!$B:$B,PRÉSTAMOS!I:I,"")=0,"",_xlfn.XLOOKUP(Clientes[[#This Row],[IDENTIFICACIÓN]],PRÉSTAMOS!$B:$B,PRÉSTAMOS!I:I,""))</f>
        <v>3022795917</v>
      </c>
      <c r="I74" t="str">
        <f>+IF(_xlfn.XLOOKUP(Clientes[[#This Row],[IDENTIFICACIÓN]],PRÉSTAMOS!$B:$B,PRÉSTAMOS!J:J,"")=0,"",_xlfn.XLOOKUP(Clientes[[#This Row],[IDENTIFICACIÓN]],PRÉSTAMOS!$B:$B,PRÉSTAMOS!J:J,""))</f>
        <v>hectororozcopereira@gmail.com</v>
      </c>
    </row>
    <row r="75" spans="1:9" x14ac:dyDescent="0.25">
      <c r="A75" t="str">
        <f>+_xlfn.XLOOKUP(Clientes[[#This Row],[IDENTIFICACIÓN]],PRÉSTAMOS!$B:$B,PRÉSTAMOS!A:A)</f>
        <v>ROBERTO RAMÍREZ AMAYA</v>
      </c>
      <c r="B75">
        <v>15962486</v>
      </c>
      <c r="C75" t="str">
        <f>+IF(_xlfn.XLOOKUP(Clientes[[#This Row],[IDENTIFICACIÓN]],PRÉSTAMOS!$B:$B,PRÉSTAMOS!C:C,"")=0,"",_xlfn.XLOOKUP(Clientes[[#This Row],[IDENTIFICACIÓN]],PRÉSTAMOS!$B:$B,PRÉSTAMOS!C:C,""))</f>
        <v>Salamina</v>
      </c>
      <c r="D75" t="str">
        <f>+IF(_xlfn.XLOOKUP(Clientes[[#This Row],[IDENTIFICACIÓN]],PRÉSTAMOS!$B:$B,PRÉSTAMOS!E:E,"")=0,"",_xlfn.XLOOKUP(Clientes[[#This Row],[IDENTIFICACIÓN]],PRÉSTAMOS!$B:$B,PRÉSTAMOS!E:E,""))</f>
        <v>Calle 10 # 24-71</v>
      </c>
      <c r="E75" t="str">
        <f>+IF(_xlfn.XLOOKUP(Clientes[[#This Row],[IDENTIFICACIÓN]],PRÉSTAMOS!$B:$B,PRÉSTAMOS!F:F,"")=0,"",_xlfn.XLOOKUP(Clientes[[#This Row],[IDENTIFICACIÓN]],PRÉSTAMOS!$B:$B,PRÉSTAMOS!F:F,""))</f>
        <v/>
      </c>
      <c r="F75" t="str">
        <f>+IF(_xlfn.XLOOKUP(Clientes[[#This Row],[IDENTIFICACIÓN]],PRÉSTAMOS!$B:$B,PRÉSTAMOS!G:G,"")=0,"",_xlfn.XLOOKUP(Clientes[[#This Row],[IDENTIFICACIÓN]],PRÉSTAMOS!$B:$B,PRÉSTAMOS!G:G,""))</f>
        <v>Manizales</v>
      </c>
      <c r="G75" t="str">
        <f>+IF(_xlfn.XLOOKUP(Clientes[[#This Row],[IDENTIFICACIÓN]],PRÉSTAMOS!$B:$B,PRÉSTAMOS!H:H,"")=0,"",_xlfn.XLOOKUP(Clientes[[#This Row],[IDENTIFICACIÓN]],PRÉSTAMOS!$B:$B,PRÉSTAMOS!H:H,""))</f>
        <v>Caldas</v>
      </c>
      <c r="H75">
        <f>+IF(_xlfn.XLOOKUP(Clientes[[#This Row],[IDENTIFICACIÓN]],PRÉSTAMOS!$B:$B,PRÉSTAMOS!I:I,"")=0,"",_xlfn.XLOOKUP(Clientes[[#This Row],[IDENTIFICACIÓN]],PRÉSTAMOS!$B:$B,PRÉSTAMOS!I:I,""))</f>
        <v>3158018334</v>
      </c>
      <c r="I75" t="str">
        <f>+IF(_xlfn.XLOOKUP(Clientes[[#This Row],[IDENTIFICACIÓN]],PRÉSTAMOS!$B:$B,PRÉSTAMOS!J:J,"")=0,"",_xlfn.XLOOKUP(Clientes[[#This Row],[IDENTIFICACIÓN]],PRÉSTAMOS!$B:$B,PRÉSTAMOS!J:J,""))</f>
        <v>jsbetojr@gmail.com</v>
      </c>
    </row>
    <row r="76" spans="1:9" x14ac:dyDescent="0.25">
      <c r="A76" t="str">
        <f>+_xlfn.XLOOKUP(Clientes[[#This Row],[IDENTIFICACIÓN]],PRÉSTAMOS!$B:$B,PRÉSTAMOS!A:A)</f>
        <v>LINA MARÍA SALDARRIAGA CASTAÑO</v>
      </c>
      <c r="B76">
        <v>42878533</v>
      </c>
      <c r="C76" t="str">
        <f>+IF(_xlfn.XLOOKUP(Clientes[[#This Row],[IDENTIFICACIÓN]],PRÉSTAMOS!$B:$B,PRÉSTAMOS!C:C,"")=0,"",_xlfn.XLOOKUP(Clientes[[#This Row],[IDENTIFICACIÓN]],PRÉSTAMOS!$B:$B,PRÉSTAMOS!C:C,""))</f>
        <v>Envigado</v>
      </c>
      <c r="D76" t="str">
        <f>+IF(_xlfn.XLOOKUP(Clientes[[#This Row],[IDENTIFICACIÓN]],PRÉSTAMOS!$B:$B,PRÉSTAMOS!E:E,"")=0,"",_xlfn.XLOOKUP(Clientes[[#This Row],[IDENTIFICACIÓN]],PRÉSTAMOS!$B:$B,PRÉSTAMOS!E:E,""))</f>
        <v>Calle 153 Av. De las Américas # 22-40</v>
      </c>
      <c r="E76" t="str">
        <f>+IF(_xlfn.XLOOKUP(Clientes[[#This Row],[IDENTIFICACIÓN]],PRÉSTAMOS!$B:$B,PRÉSTAMOS!F:F,"")=0,"",_xlfn.XLOOKUP(Clientes[[#This Row],[IDENTIFICACIÓN]],PRÉSTAMOS!$B:$B,PRÉSTAMOS!F:F,""))</f>
        <v>Conj. Residencial Nobori torre 4 Apto. 901</v>
      </c>
      <c r="F76" t="str">
        <f>+IF(_xlfn.XLOOKUP(Clientes[[#This Row],[IDENTIFICACIÓN]],PRÉSTAMOS!$B:$B,PRÉSTAMOS!G:G,"")=0,"",_xlfn.XLOOKUP(Clientes[[#This Row],[IDENTIFICACIÓN]],PRÉSTAMOS!$B:$B,PRÉSTAMOS!G:G,""))</f>
        <v>Pereira</v>
      </c>
      <c r="G76" t="str">
        <f>+IF(_xlfn.XLOOKUP(Clientes[[#This Row],[IDENTIFICACIÓN]],PRÉSTAMOS!$B:$B,PRÉSTAMOS!H:H,"")=0,"",_xlfn.XLOOKUP(Clientes[[#This Row],[IDENTIFICACIÓN]],PRÉSTAMOS!$B:$B,PRÉSTAMOS!H:H,""))</f>
        <v>Risaralda</v>
      </c>
      <c r="H76">
        <f>+IF(_xlfn.XLOOKUP(Clientes[[#This Row],[IDENTIFICACIÓN]],PRÉSTAMOS!$B:$B,PRÉSTAMOS!I:I,"")=0,"",_xlfn.XLOOKUP(Clientes[[#This Row],[IDENTIFICACIÓN]],PRÉSTAMOS!$B:$B,PRÉSTAMOS!I:I,""))</f>
        <v>3137916223</v>
      </c>
      <c r="I76" t="str">
        <f>+IF(_xlfn.XLOOKUP(Clientes[[#This Row],[IDENTIFICACIÓN]],PRÉSTAMOS!$B:$B,PRÉSTAMOS!J:J,"")=0,"",_xlfn.XLOOKUP(Clientes[[#This Row],[IDENTIFICACIÓN]],PRÉSTAMOS!$B:$B,PRÉSTAMOS!J:J,""))</f>
        <v>puppy6256@hotmail.com</v>
      </c>
    </row>
    <row r="77" spans="1:9" x14ac:dyDescent="0.25">
      <c r="A77" t="str">
        <f>+_xlfn.XLOOKUP(Clientes[[#This Row],[IDENTIFICACIÓN]],PRÉSTAMOS!$B:$B,PRÉSTAMOS!A:A)</f>
        <v>IVÁN ARANGO RESTREPO</v>
      </c>
      <c r="B77">
        <v>8271533</v>
      </c>
      <c r="C77" t="str">
        <f>+IF(_xlfn.XLOOKUP(Clientes[[#This Row],[IDENTIFICACIÓN]],PRÉSTAMOS!$B:$B,PRÉSTAMOS!C:C,"")=0,"",_xlfn.XLOOKUP(Clientes[[#This Row],[IDENTIFICACIÓN]],PRÉSTAMOS!$B:$B,PRÉSTAMOS!C:C,""))</f>
        <v>Medellín</v>
      </c>
      <c r="D77" t="str">
        <f>+IF(_xlfn.XLOOKUP(Clientes[[#This Row],[IDENTIFICACIÓN]],PRÉSTAMOS!$B:$B,PRÉSTAMOS!E:E,"")=0,"",_xlfn.XLOOKUP(Clientes[[#This Row],[IDENTIFICACIÓN]],PRÉSTAMOS!$B:$B,PRÉSTAMOS!E:E,""))</f>
        <v>Carrera 8 # 4-13</v>
      </c>
      <c r="E77" t="str">
        <f>+IF(_xlfn.XLOOKUP(Clientes[[#This Row],[IDENTIFICACIÓN]],PRÉSTAMOS!$B:$B,PRÉSTAMOS!F:F,"")=0,"",_xlfn.XLOOKUP(Clientes[[#This Row],[IDENTIFICACIÓN]],PRÉSTAMOS!$B:$B,PRÉSTAMOS!F:F,""))</f>
        <v>Villavicencio</v>
      </c>
      <c r="F77" t="str">
        <f>+IF(_xlfn.XLOOKUP(Clientes[[#This Row],[IDENTIFICACIÓN]],PRÉSTAMOS!$B:$B,PRÉSTAMOS!G:G,"")=0,"",_xlfn.XLOOKUP(Clientes[[#This Row],[IDENTIFICACIÓN]],PRÉSTAMOS!$B:$B,PRÉSTAMOS!G:G,""))</f>
        <v>Pereira</v>
      </c>
      <c r="G77" t="str">
        <f>+IF(_xlfn.XLOOKUP(Clientes[[#This Row],[IDENTIFICACIÓN]],PRÉSTAMOS!$B:$B,PRÉSTAMOS!H:H,"")=0,"",_xlfn.XLOOKUP(Clientes[[#This Row],[IDENTIFICACIÓN]],PRÉSTAMOS!$B:$B,PRÉSTAMOS!H:H,""))</f>
        <v>Risaralda</v>
      </c>
      <c r="H77">
        <f>+IF(_xlfn.XLOOKUP(Clientes[[#This Row],[IDENTIFICACIÓN]],PRÉSTAMOS!$B:$B,PRÉSTAMOS!I:I,"")=0,"",_xlfn.XLOOKUP(Clientes[[#This Row],[IDENTIFICACIÓN]],PRÉSTAMOS!$B:$B,PRÉSTAMOS!I:I,""))</f>
        <v>3215564497</v>
      </c>
      <c r="I77" t="str">
        <f>+IF(_xlfn.XLOOKUP(Clientes[[#This Row],[IDENTIFICACIÓN]],PRÉSTAMOS!$B:$B,PRÉSTAMOS!J:J,"")=0,"",_xlfn.XLOOKUP(Clientes[[#This Row],[IDENTIFICACIÓN]],PRÉSTAMOS!$B:$B,PRÉSTAMOS!J:J,""))</f>
        <v>rentamosinmobiliaria@gmail.com</v>
      </c>
    </row>
    <row r="78" spans="1:9" x14ac:dyDescent="0.25">
      <c r="A78" t="str">
        <f>+_xlfn.XLOOKUP(Clientes[[#This Row],[IDENTIFICACIÓN]],PRÉSTAMOS!$B:$B,PRÉSTAMOS!A:A)</f>
        <v>LEONARDO BETANCUR CORRALES</v>
      </c>
      <c r="B78">
        <v>10123881</v>
      </c>
      <c r="C78" t="str">
        <f>+IF(_xlfn.XLOOKUP(Clientes[[#This Row],[IDENTIFICACIÓN]],PRÉSTAMOS!$B:$B,PRÉSTAMOS!C:C,"")=0,"",_xlfn.XLOOKUP(Clientes[[#This Row],[IDENTIFICACIÓN]],PRÉSTAMOS!$B:$B,PRÉSTAMOS!C:C,""))</f>
        <v>Pereira</v>
      </c>
      <c r="D78" t="str">
        <f>+IF(_xlfn.XLOOKUP(Clientes[[#This Row],[IDENTIFICACIÓN]],PRÉSTAMOS!$B:$B,PRÉSTAMOS!E:E,"")=0,"",_xlfn.XLOOKUP(Clientes[[#This Row],[IDENTIFICACIÓN]],PRÉSTAMOS!$B:$B,PRÉSTAMOS!E:E,""))</f>
        <v>Manzana 3 Casa 4</v>
      </c>
      <c r="E78" t="str">
        <f>+IF(_xlfn.XLOOKUP(Clientes[[#This Row],[IDENTIFICACIÓN]],PRÉSTAMOS!$B:$B,PRÉSTAMOS!F:F,"")=0,"",_xlfn.XLOOKUP(Clientes[[#This Row],[IDENTIFICACIÓN]],PRÉSTAMOS!$B:$B,PRÉSTAMOS!F:F,""))</f>
        <v>Jaime Pardo Leal</v>
      </c>
      <c r="F78" t="str">
        <f>+IF(_xlfn.XLOOKUP(Clientes[[#This Row],[IDENTIFICACIÓN]],PRÉSTAMOS!$B:$B,PRÉSTAMOS!G:G,"")=0,"",_xlfn.XLOOKUP(Clientes[[#This Row],[IDENTIFICACIÓN]],PRÉSTAMOS!$B:$B,PRÉSTAMOS!G:G,""))</f>
        <v>Pereira</v>
      </c>
      <c r="G78" t="str">
        <f>+IF(_xlfn.XLOOKUP(Clientes[[#This Row],[IDENTIFICACIÓN]],PRÉSTAMOS!$B:$B,PRÉSTAMOS!H:H,"")=0,"",_xlfn.XLOOKUP(Clientes[[#This Row],[IDENTIFICACIÓN]],PRÉSTAMOS!$B:$B,PRÉSTAMOS!H:H,""))</f>
        <v>Risaralda</v>
      </c>
      <c r="H78">
        <f>+IF(_xlfn.XLOOKUP(Clientes[[#This Row],[IDENTIFICACIÓN]],PRÉSTAMOS!$B:$B,PRÉSTAMOS!I:I,"")=0,"",_xlfn.XLOOKUP(Clientes[[#This Row],[IDENTIFICACIÓN]],PRÉSTAMOS!$B:$B,PRÉSTAMOS!I:I,""))</f>
        <v>3217392626</v>
      </c>
      <c r="I78" t="str">
        <f>+IF(_xlfn.XLOOKUP(Clientes[[#This Row],[IDENTIFICACIÓN]],PRÉSTAMOS!$B:$B,PRÉSTAMOS!J:J,"")=0,"",_xlfn.XLOOKUP(Clientes[[#This Row],[IDENTIFICACIÓN]],PRÉSTAMOS!$B:$B,PRÉSTAMOS!J:J,""))</f>
        <v>humadu24@gmail.com</v>
      </c>
    </row>
    <row r="79" spans="1:9" x14ac:dyDescent="0.25">
      <c r="A79" t="str">
        <f>+_xlfn.XLOOKUP(Clientes[[#This Row],[IDENTIFICACIÓN]],PRÉSTAMOS!$B:$B,PRÉSTAMOS!A:A)</f>
        <v>ALEJANDRO GÓMEZ FERNÁNDEZ</v>
      </c>
      <c r="B79">
        <v>7497396</v>
      </c>
      <c r="C79" t="str">
        <f>+IF(_xlfn.XLOOKUP(Clientes[[#This Row],[IDENTIFICACIÓN]],PRÉSTAMOS!$B:$B,PRÉSTAMOS!C:C,"")=0,"",_xlfn.XLOOKUP(Clientes[[#This Row],[IDENTIFICACIÓN]],PRÉSTAMOS!$B:$B,PRÉSTAMOS!C:C,""))</f>
        <v>Armenia</v>
      </c>
      <c r="D79" t="str">
        <f>+IF(_xlfn.XLOOKUP(Clientes[[#This Row],[IDENTIFICACIÓN]],PRÉSTAMOS!$B:$B,PRÉSTAMOS!E:E,"")=0,"",_xlfn.XLOOKUP(Clientes[[#This Row],[IDENTIFICACIÓN]],PRÉSTAMOS!$B:$B,PRÉSTAMOS!E:E,""))</f>
        <v>Manzana 4 Casa 6</v>
      </c>
      <c r="E79" t="str">
        <f>+IF(_xlfn.XLOOKUP(Clientes[[#This Row],[IDENTIFICACIÓN]],PRÉSTAMOS!$B:$B,PRÉSTAMOS!F:F,"")=0,"",_xlfn.XLOOKUP(Clientes[[#This Row],[IDENTIFICACIÓN]],PRÉSTAMOS!$B:$B,PRÉSTAMOS!F:F,""))</f>
        <v>Campestre D</v>
      </c>
      <c r="F79" t="str">
        <f>+IF(_xlfn.XLOOKUP(Clientes[[#This Row],[IDENTIFICACIÓN]],PRÉSTAMOS!$B:$B,PRÉSTAMOS!G:G,"")=0,"",_xlfn.XLOOKUP(Clientes[[#This Row],[IDENTIFICACIÓN]],PRÉSTAMOS!$B:$B,PRÉSTAMOS!G:G,""))</f>
        <v>Dosquebradas</v>
      </c>
      <c r="G79" t="str">
        <f>+IF(_xlfn.XLOOKUP(Clientes[[#This Row],[IDENTIFICACIÓN]],PRÉSTAMOS!$B:$B,PRÉSTAMOS!H:H,"")=0,"",_xlfn.XLOOKUP(Clientes[[#This Row],[IDENTIFICACIÓN]],PRÉSTAMOS!$B:$B,PRÉSTAMOS!H:H,""))</f>
        <v>Risaralda</v>
      </c>
      <c r="H79">
        <f>+IF(_xlfn.XLOOKUP(Clientes[[#This Row],[IDENTIFICACIÓN]],PRÉSTAMOS!$B:$B,PRÉSTAMOS!I:I,"")=0,"",_xlfn.XLOOKUP(Clientes[[#This Row],[IDENTIFICACIÓN]],PRÉSTAMOS!$B:$B,PRÉSTAMOS!I:I,""))</f>
        <v>3154870032</v>
      </c>
      <c r="I79" t="str">
        <f>+IF(_xlfn.XLOOKUP(Clientes[[#This Row],[IDENTIFICACIÓN]],PRÉSTAMOS!$B:$B,PRÉSTAMOS!J:J,"")=0,"",_xlfn.XLOOKUP(Clientes[[#This Row],[IDENTIFICACIÓN]],PRÉSTAMOS!$B:$B,PRÉSTAMOS!J:J,""))</f>
        <v>gomezfernandezalejandro269@gmail.com</v>
      </c>
    </row>
    <row r="80" spans="1:9" x14ac:dyDescent="0.25">
      <c r="A80" t="str">
        <f>+_xlfn.XLOOKUP(Clientes[[#This Row],[IDENTIFICACIÓN]],PRÉSTAMOS!$B:$B,PRÉSTAMOS!A:A)</f>
        <v>MARÍA LIGIA TORO GARCÍA</v>
      </c>
      <c r="B80">
        <v>24761361</v>
      </c>
      <c r="C80" t="str">
        <f>+IF(_xlfn.XLOOKUP(Clientes[[#This Row],[IDENTIFICACIÓN]],PRÉSTAMOS!$B:$B,PRÉSTAMOS!C:C,"")=0,"",_xlfn.XLOOKUP(Clientes[[#This Row],[IDENTIFICACIÓN]],PRÉSTAMOS!$B:$B,PRÉSTAMOS!C:C,""))</f>
        <v>Marsella</v>
      </c>
      <c r="D80" t="str">
        <f>+IF(_xlfn.XLOOKUP(Clientes[[#This Row],[IDENTIFICACIÓN]],PRÉSTAMOS!$B:$B,PRÉSTAMOS!E:E,"")=0,"",_xlfn.XLOOKUP(Clientes[[#This Row],[IDENTIFICACIÓN]],PRÉSTAMOS!$B:$B,PRÉSTAMOS!E:E,""))</f>
        <v>Vereda Palmilla, km. 15 vía Pereira-Alcalá</v>
      </c>
      <c r="E80" t="str">
        <f>+IF(_xlfn.XLOOKUP(Clientes[[#This Row],[IDENTIFICACIÓN]],PRÉSTAMOS!$B:$B,PRÉSTAMOS!F:F,"")=0,"",_xlfn.XLOOKUP(Clientes[[#This Row],[IDENTIFICACIÓN]],PRÉSTAMOS!$B:$B,PRÉSTAMOS!F:F,""))</f>
        <v>Finca La Palma</v>
      </c>
      <c r="F80" t="str">
        <f>+IF(_xlfn.XLOOKUP(Clientes[[#This Row],[IDENTIFICACIÓN]],PRÉSTAMOS!$B:$B,PRÉSTAMOS!G:G,"")=0,"",_xlfn.XLOOKUP(Clientes[[#This Row],[IDENTIFICACIÓN]],PRÉSTAMOS!$B:$B,PRÉSTAMOS!G:G,""))</f>
        <v>Pereira</v>
      </c>
      <c r="G80" t="str">
        <f>+IF(_xlfn.XLOOKUP(Clientes[[#This Row],[IDENTIFICACIÓN]],PRÉSTAMOS!$B:$B,PRÉSTAMOS!H:H,"")=0,"",_xlfn.XLOOKUP(Clientes[[#This Row],[IDENTIFICACIÓN]],PRÉSTAMOS!$B:$B,PRÉSTAMOS!H:H,""))</f>
        <v>Risaralda</v>
      </c>
      <c r="H80">
        <f>+IF(_xlfn.XLOOKUP(Clientes[[#This Row],[IDENTIFICACIÓN]],PRÉSTAMOS!$B:$B,PRÉSTAMOS!I:I,"")=0,"",_xlfn.XLOOKUP(Clientes[[#This Row],[IDENTIFICACIÓN]],PRÉSTAMOS!$B:$B,PRÉSTAMOS!I:I,""))</f>
        <v>3215649948</v>
      </c>
      <c r="I80" t="str">
        <f>+IF(_xlfn.XLOOKUP(Clientes[[#This Row],[IDENTIFICACIÓN]],PRÉSTAMOS!$B:$B,PRÉSTAMOS!J:J,"")=0,"",_xlfn.XLOOKUP(Clientes[[#This Row],[IDENTIFICACIÓN]],PRÉSTAMOS!$B:$B,PRÉSTAMOS!J:J,""))</f>
        <v>marialigiatorogarcia7@gmail.com</v>
      </c>
    </row>
    <row r="81" spans="1:9" x14ac:dyDescent="0.25">
      <c r="A81" t="str">
        <f>+_xlfn.XLOOKUP(Clientes[[#This Row],[IDENTIFICACIÓN]],PRÉSTAMOS!$B:$B,PRÉSTAMOS!A:A)</f>
        <v>YOHNIER CANO HENAO</v>
      </c>
      <c r="B81">
        <v>10023511</v>
      </c>
      <c r="C81" t="str">
        <f>+IF(_xlfn.XLOOKUP(Clientes[[#This Row],[IDENTIFICACIÓN]],PRÉSTAMOS!$B:$B,PRÉSTAMOS!C:C,"")=0,"",_xlfn.XLOOKUP(Clientes[[#This Row],[IDENTIFICACIÓN]],PRÉSTAMOS!$B:$B,PRÉSTAMOS!C:C,""))</f>
        <v>Pereira</v>
      </c>
      <c r="D81" t="str">
        <f>+IF(_xlfn.XLOOKUP(Clientes[[#This Row],[IDENTIFICACIÓN]],PRÉSTAMOS!$B:$B,PRÉSTAMOS!E:E,"")=0,"",_xlfn.XLOOKUP(Clientes[[#This Row],[IDENTIFICACIÓN]],PRÉSTAMOS!$B:$B,PRÉSTAMOS!E:E,""))</f>
        <v xml:space="preserve">Calle 66 # 18-15 </v>
      </c>
      <c r="E81" t="str">
        <f>+IF(_xlfn.XLOOKUP(Clientes[[#This Row],[IDENTIFICACIÓN]],PRÉSTAMOS!$B:$B,PRÉSTAMOS!F:F,"")=0,"",_xlfn.XLOOKUP(Clientes[[#This Row],[IDENTIFICACIÓN]],PRÉSTAMOS!$B:$B,PRÉSTAMOS!F:F,""))</f>
        <v>La Capilla</v>
      </c>
      <c r="F81" t="str">
        <f>+IF(_xlfn.XLOOKUP(Clientes[[#This Row],[IDENTIFICACIÓN]],PRÉSTAMOS!$B:$B,PRÉSTAMOS!G:G,"")=0,"",_xlfn.XLOOKUP(Clientes[[#This Row],[IDENTIFICACIÓN]],PRÉSTAMOS!$B:$B,PRÉSTAMOS!G:G,""))</f>
        <v>Dosquebradas</v>
      </c>
      <c r="G81" t="str">
        <f>+IF(_xlfn.XLOOKUP(Clientes[[#This Row],[IDENTIFICACIÓN]],PRÉSTAMOS!$B:$B,PRÉSTAMOS!H:H,"")=0,"",_xlfn.XLOOKUP(Clientes[[#This Row],[IDENTIFICACIÓN]],PRÉSTAMOS!$B:$B,PRÉSTAMOS!H:H,""))</f>
        <v>Risaralda</v>
      </c>
      <c r="H81">
        <f>+IF(_xlfn.XLOOKUP(Clientes[[#This Row],[IDENTIFICACIÓN]],PRÉSTAMOS!$B:$B,PRÉSTAMOS!I:I,"")=0,"",_xlfn.XLOOKUP(Clientes[[#This Row],[IDENTIFICACIÓN]],PRÉSTAMOS!$B:$B,PRÉSTAMOS!I:I,""))</f>
        <v>3122562580</v>
      </c>
      <c r="I81" t="str">
        <f>+IF(_xlfn.XLOOKUP(Clientes[[#This Row],[IDENTIFICACIÓN]],PRÉSTAMOS!$B:$B,PRÉSTAMOS!J:J,"")=0,"",_xlfn.XLOOKUP(Clientes[[#This Row],[IDENTIFICACIÓN]],PRÉSTAMOS!$B:$B,PRÉSTAMOS!J:J,""))</f>
        <v>cano75yohnier@hotmail.com</v>
      </c>
    </row>
    <row r="82" spans="1:9" x14ac:dyDescent="0.25">
      <c r="A82" t="str">
        <f>+_xlfn.XLOOKUP(Clientes[[#This Row],[IDENTIFICACIÓN]],PRÉSTAMOS!$B:$B,PRÉSTAMOS!A:A)</f>
        <v>MARÍA FIDELINA SÁNCHEZ DE LONDOÑO</v>
      </c>
      <c r="B82">
        <v>24954088</v>
      </c>
      <c r="C82" t="str">
        <f>+IF(_xlfn.XLOOKUP(Clientes[[#This Row],[IDENTIFICACIÓN]],PRÉSTAMOS!$B:$B,PRÉSTAMOS!C:C,"")=0,"",_xlfn.XLOOKUP(Clientes[[#This Row],[IDENTIFICACIÓN]],PRÉSTAMOS!$B:$B,PRÉSTAMOS!C:C,""))</f>
        <v>Pereira</v>
      </c>
      <c r="D82" t="str">
        <f>+IF(_xlfn.XLOOKUP(Clientes[[#This Row],[IDENTIFICACIÓN]],PRÉSTAMOS!$B:$B,PRÉSTAMOS!E:E,"")=0,"",_xlfn.XLOOKUP(Clientes[[#This Row],[IDENTIFICACIÓN]],PRÉSTAMOS!$B:$B,PRÉSTAMOS!E:E,""))</f>
        <v>Cra 5bis #37-48</v>
      </c>
      <c r="E82" t="str">
        <f>+IF(_xlfn.XLOOKUP(Clientes[[#This Row],[IDENTIFICACIÓN]],PRÉSTAMOS!$B:$B,PRÉSTAMOS!F:F,"")=0,"",_xlfn.XLOOKUP(Clientes[[#This Row],[IDENTIFICACIÓN]],PRÉSTAMOS!$B:$B,PRÉSTAMOS!F:F,""))</f>
        <v>Centro</v>
      </c>
      <c r="F82" t="str">
        <f>+IF(_xlfn.XLOOKUP(Clientes[[#This Row],[IDENTIFICACIÓN]],PRÉSTAMOS!$B:$B,PRÉSTAMOS!G:G,"")=0,"",_xlfn.XLOOKUP(Clientes[[#This Row],[IDENTIFICACIÓN]],PRÉSTAMOS!$B:$B,PRÉSTAMOS!G:G,""))</f>
        <v>Pereira</v>
      </c>
      <c r="G82" t="str">
        <f>+IF(_xlfn.XLOOKUP(Clientes[[#This Row],[IDENTIFICACIÓN]],PRÉSTAMOS!$B:$B,PRÉSTAMOS!H:H,"")=0,"",_xlfn.XLOOKUP(Clientes[[#This Row],[IDENTIFICACIÓN]],PRÉSTAMOS!$B:$B,PRÉSTAMOS!H:H,""))</f>
        <v>Risaralda</v>
      </c>
      <c r="H82">
        <f>+IF(_xlfn.XLOOKUP(Clientes[[#This Row],[IDENTIFICACIÓN]],PRÉSTAMOS!$B:$B,PRÉSTAMOS!I:I,"")=0,"",_xlfn.XLOOKUP(Clientes[[#This Row],[IDENTIFICACIÓN]],PRÉSTAMOS!$B:$B,PRÉSTAMOS!I:I,""))</f>
        <v>3128651170</v>
      </c>
      <c r="I82" t="str">
        <f>+IF(_xlfn.XLOOKUP(Clientes[[#This Row],[IDENTIFICACIÓN]],PRÉSTAMOS!$B:$B,PRÉSTAMOS!J:J,"")=0,"",_xlfn.XLOOKUP(Clientes[[#This Row],[IDENTIFICACIÓN]],PRÉSTAMOS!$B:$B,PRÉSTAMOS!J:J,""))</f>
        <v>mariafidelinasanchez25@gmail.com</v>
      </c>
    </row>
    <row r="83" spans="1:9" x14ac:dyDescent="0.25">
      <c r="A83" t="str">
        <f>+_xlfn.XLOOKUP(Clientes[[#This Row],[IDENTIFICACIÓN]],PRÉSTAMOS!$B:$B,PRÉSTAMOS!A:A)</f>
        <v>MARÍA MELBA MOSQUERA DE LOZANO</v>
      </c>
      <c r="B83">
        <v>34056113</v>
      </c>
      <c r="C83" t="str">
        <f>+IF(_xlfn.XLOOKUP(Clientes[[#This Row],[IDENTIFICACIÓN]],PRÉSTAMOS!$B:$B,PRÉSTAMOS!C:C,"")=0,"",_xlfn.XLOOKUP(Clientes[[#This Row],[IDENTIFICACIÓN]],PRÉSTAMOS!$B:$B,PRÉSTAMOS!C:C,""))</f>
        <v>Pereira</v>
      </c>
      <c r="D83" t="str">
        <f>+IF(_xlfn.XLOOKUP(Clientes[[#This Row],[IDENTIFICACIÓN]],PRÉSTAMOS!$B:$B,PRÉSTAMOS!E:E,"")=0,"",_xlfn.XLOOKUP(Clientes[[#This Row],[IDENTIFICACIÓN]],PRÉSTAMOS!$B:$B,PRÉSTAMOS!E:E,""))</f>
        <v>Torre 5 Apartamento 302</v>
      </c>
      <c r="E83" t="str">
        <f>+IF(_xlfn.XLOOKUP(Clientes[[#This Row],[IDENTIFICACIÓN]],PRÉSTAMOS!$B:$B,PRÉSTAMOS!F:F,"")=0,"",_xlfn.XLOOKUP(Clientes[[#This Row],[IDENTIFICACIÓN]],PRÉSTAMOS!$B:$B,PRÉSTAMOS!F:F,""))</f>
        <v>Reservas de la Pradera</v>
      </c>
      <c r="F83" t="str">
        <f>+IF(_xlfn.XLOOKUP(Clientes[[#This Row],[IDENTIFICACIÓN]],PRÉSTAMOS!$B:$B,PRÉSTAMOS!G:G,"")=0,"",_xlfn.XLOOKUP(Clientes[[#This Row],[IDENTIFICACIÓN]],PRÉSTAMOS!$B:$B,PRÉSTAMOS!G:G,""))</f>
        <v>Dosquebradas</v>
      </c>
      <c r="G83" t="str">
        <f>+IF(_xlfn.XLOOKUP(Clientes[[#This Row],[IDENTIFICACIÓN]],PRÉSTAMOS!$B:$B,PRÉSTAMOS!H:H,"")=0,"",_xlfn.XLOOKUP(Clientes[[#This Row],[IDENTIFICACIÓN]],PRÉSTAMOS!$B:$B,PRÉSTAMOS!H:H,""))</f>
        <v>Risaralda</v>
      </c>
      <c r="H83">
        <f>+IF(_xlfn.XLOOKUP(Clientes[[#This Row],[IDENTIFICACIÓN]],PRÉSTAMOS!$B:$B,PRÉSTAMOS!I:I,"")=0,"",_xlfn.XLOOKUP(Clientes[[#This Row],[IDENTIFICACIÓN]],PRÉSTAMOS!$B:$B,PRÉSTAMOS!I:I,""))</f>
        <v>3217279594</v>
      </c>
      <c r="I83" t="str">
        <f>+IF(_xlfn.XLOOKUP(Clientes[[#This Row],[IDENTIFICACIÓN]],PRÉSTAMOS!$B:$B,PRÉSTAMOS!J:J,"")=0,"",_xlfn.XLOOKUP(Clientes[[#This Row],[IDENTIFICACIÓN]],PRÉSTAMOS!$B:$B,PRÉSTAMOS!J:J,""))</f>
        <v>melbismosquera1938@gmail.com</v>
      </c>
    </row>
    <row r="84" spans="1:9" x14ac:dyDescent="0.25">
      <c r="A84" t="str">
        <f>+_xlfn.XLOOKUP(Clientes[[#This Row],[IDENTIFICACIÓN]],PRÉSTAMOS!$B:$B,PRÉSTAMOS!A:A)</f>
        <v>MARTHA NUBIA GALLO SIERRA</v>
      </c>
      <c r="B84">
        <v>42055869</v>
      </c>
      <c r="C84" t="str">
        <f>+IF(_xlfn.XLOOKUP(Clientes[[#This Row],[IDENTIFICACIÓN]],PRÉSTAMOS!$B:$B,PRÉSTAMOS!C:C,"")=0,"",_xlfn.XLOOKUP(Clientes[[#This Row],[IDENTIFICACIÓN]],PRÉSTAMOS!$B:$B,PRÉSTAMOS!C:C,""))</f>
        <v>Pereira</v>
      </c>
      <c r="D84" t="str">
        <f>+IF(_xlfn.XLOOKUP(Clientes[[#This Row],[IDENTIFICACIÓN]],PRÉSTAMOS!$B:$B,PRÉSTAMOS!E:E,"")=0,"",_xlfn.XLOOKUP(Clientes[[#This Row],[IDENTIFICACIÓN]],PRÉSTAMOS!$B:$B,PRÉSTAMOS!E:E,""))</f>
        <v xml:space="preserve">Manzana 1 Casa 25 </v>
      </c>
      <c r="E84" t="str">
        <f>+IF(_xlfn.XLOOKUP(Clientes[[#This Row],[IDENTIFICACIÓN]],PRÉSTAMOS!$B:$B,PRÉSTAMOS!F:F,"")=0,"",_xlfn.XLOOKUP(Clientes[[#This Row],[IDENTIFICACIÓN]],PRÉSTAMOS!$B:$B,PRÉSTAMOS!F:F,""))</f>
        <v>Bosques de la Acuarela Etapa 3</v>
      </c>
      <c r="F84" t="str">
        <f>+IF(_xlfn.XLOOKUP(Clientes[[#This Row],[IDENTIFICACIÓN]],PRÉSTAMOS!$B:$B,PRÉSTAMOS!G:G,"")=0,"",_xlfn.XLOOKUP(Clientes[[#This Row],[IDENTIFICACIÓN]],PRÉSTAMOS!$B:$B,PRÉSTAMOS!G:G,""))</f>
        <v>Dosquebradas</v>
      </c>
      <c r="G84" t="str">
        <f>+IF(_xlfn.XLOOKUP(Clientes[[#This Row],[IDENTIFICACIÓN]],PRÉSTAMOS!$B:$B,PRÉSTAMOS!H:H,"")=0,"",_xlfn.XLOOKUP(Clientes[[#This Row],[IDENTIFICACIÓN]],PRÉSTAMOS!$B:$B,PRÉSTAMOS!H:H,""))</f>
        <v>Risaralda</v>
      </c>
      <c r="H84">
        <f>+IF(_xlfn.XLOOKUP(Clientes[[#This Row],[IDENTIFICACIÓN]],PRÉSTAMOS!$B:$B,PRÉSTAMOS!I:I,"")=0,"",_xlfn.XLOOKUP(Clientes[[#This Row],[IDENTIFICACIÓN]],PRÉSTAMOS!$B:$B,PRÉSTAMOS!I:I,""))</f>
        <v>3147515810</v>
      </c>
      <c r="I84" t="str">
        <f>+IF(_xlfn.XLOOKUP(Clientes[[#This Row],[IDENTIFICACIÓN]],PRÉSTAMOS!$B:$B,PRÉSTAMOS!J:J,"")=0,"",_xlfn.XLOOKUP(Clientes[[#This Row],[IDENTIFICACIÓN]],PRÉSTAMOS!$B:$B,PRÉSTAMOS!J:J,""))</f>
        <v>marthang0216@gmail.com</v>
      </c>
    </row>
    <row r="85" spans="1:9" x14ac:dyDescent="0.25">
      <c r="A85" t="str">
        <f>+_xlfn.XLOOKUP(Clientes[[#This Row],[IDENTIFICACIÓN]],PRÉSTAMOS!$B:$B,PRÉSTAMOS!A:A)</f>
        <v>MARÍA DANELLY GALINDO DE SEPÚLVEDA</v>
      </c>
      <c r="B85">
        <v>24937844</v>
      </c>
      <c r="C85" t="str">
        <f>+IF(_xlfn.XLOOKUP(Clientes[[#This Row],[IDENTIFICACIÓN]],PRÉSTAMOS!$B:$B,PRÉSTAMOS!C:C,"")=0,"",_xlfn.XLOOKUP(Clientes[[#This Row],[IDENTIFICACIÓN]],PRÉSTAMOS!$B:$B,PRÉSTAMOS!C:C,""))</f>
        <v>Pereira</v>
      </c>
      <c r="D85" t="str">
        <f>+IF(_xlfn.XLOOKUP(Clientes[[#This Row],[IDENTIFICACIÓN]],PRÉSTAMOS!$B:$B,PRÉSTAMOS!E:E,"")=0,"",_xlfn.XLOOKUP(Clientes[[#This Row],[IDENTIFICACIÓN]],PRÉSTAMOS!$B:$B,PRÉSTAMOS!E:E,""))</f>
        <v xml:space="preserve">Manzana 4 Casa 13 </v>
      </c>
      <c r="E85" t="str">
        <f>+IF(_xlfn.XLOOKUP(Clientes[[#This Row],[IDENTIFICACIÓN]],PRÉSTAMOS!$B:$B,PRÉSTAMOS!F:F,"")=0,"",_xlfn.XLOOKUP(Clientes[[#This Row],[IDENTIFICACIÓN]],PRÉSTAMOS!$B:$B,PRÉSTAMOS!F:F,""))</f>
        <v>Jardín 1</v>
      </c>
      <c r="F85" t="str">
        <f>+IF(_xlfn.XLOOKUP(Clientes[[#This Row],[IDENTIFICACIÓN]],PRÉSTAMOS!$B:$B,PRÉSTAMOS!G:G,"")=0,"",_xlfn.XLOOKUP(Clientes[[#This Row],[IDENTIFICACIÓN]],PRÉSTAMOS!$B:$B,PRÉSTAMOS!G:G,""))</f>
        <v>Pereira</v>
      </c>
      <c r="G85" t="str">
        <f>+IF(_xlfn.XLOOKUP(Clientes[[#This Row],[IDENTIFICACIÓN]],PRÉSTAMOS!$B:$B,PRÉSTAMOS!H:H,"")=0,"",_xlfn.XLOOKUP(Clientes[[#This Row],[IDENTIFICACIÓN]],PRÉSTAMOS!$B:$B,PRÉSTAMOS!H:H,""))</f>
        <v>Risaralda</v>
      </c>
      <c r="H85">
        <f>+IF(_xlfn.XLOOKUP(Clientes[[#This Row],[IDENTIFICACIÓN]],PRÉSTAMOS!$B:$B,PRÉSTAMOS!I:I,"")=0,"",_xlfn.XLOOKUP(Clientes[[#This Row],[IDENTIFICACIÓN]],PRÉSTAMOS!$B:$B,PRÉSTAMOS!I:I,""))</f>
        <v>3115742391</v>
      </c>
      <c r="I85" t="str">
        <f>+IF(_xlfn.XLOOKUP(Clientes[[#This Row],[IDENTIFICACIÓN]],PRÉSTAMOS!$B:$B,PRÉSTAMOS!J:J,"")=0,"",_xlfn.XLOOKUP(Clientes[[#This Row],[IDENTIFICACIÓN]],PRÉSTAMOS!$B:$B,PRÉSTAMOS!J:J,""))</f>
        <v>alejozapata1990@gmail.com</v>
      </c>
    </row>
    <row r="86" spans="1:9" x14ac:dyDescent="0.25">
      <c r="A86" t="str">
        <f>+_xlfn.XLOOKUP(Clientes[[#This Row],[IDENTIFICACIÓN]],PRÉSTAMOS!$B:$B,PRÉSTAMOS!A:A)</f>
        <v>PEDRO NEL GONZÁLEZ MEJÍA</v>
      </c>
      <c r="B86">
        <v>16231799</v>
      </c>
      <c r="C86" t="str">
        <f>+IF(_xlfn.XLOOKUP(Clientes[[#This Row],[IDENTIFICACIÓN]],PRÉSTAMOS!$B:$B,PRÉSTAMOS!C:C,"")=0,"",_xlfn.XLOOKUP(Clientes[[#This Row],[IDENTIFICACIÓN]],PRÉSTAMOS!$B:$B,PRÉSTAMOS!C:C,""))</f>
        <v>Cartago</v>
      </c>
      <c r="D86" t="str">
        <f>+IF(_xlfn.XLOOKUP(Clientes[[#This Row],[IDENTIFICACIÓN]],PRÉSTAMOS!$B:$B,PRÉSTAMOS!E:E,"")=0,"",_xlfn.XLOOKUP(Clientes[[#This Row],[IDENTIFICACIÓN]],PRÉSTAMOS!$B:$B,PRÉSTAMOS!E:E,""))</f>
        <v>Manzana 15 Casa 333</v>
      </c>
      <c r="E86" t="str">
        <f>+IF(_xlfn.XLOOKUP(Clientes[[#This Row],[IDENTIFICACIÓN]],PRÉSTAMOS!$B:$B,PRÉSTAMOS!F:F,"")=0,"",_xlfn.XLOOKUP(Clientes[[#This Row],[IDENTIFICACIÓN]],PRÉSTAMOS!$B:$B,PRÉSTAMOS!F:F,""))</f>
        <v>San Marcos-Cuba</v>
      </c>
      <c r="F86" t="str">
        <f>+IF(_xlfn.XLOOKUP(Clientes[[#This Row],[IDENTIFICACIÓN]],PRÉSTAMOS!$B:$B,PRÉSTAMOS!G:G,"")=0,"",_xlfn.XLOOKUP(Clientes[[#This Row],[IDENTIFICACIÓN]],PRÉSTAMOS!$B:$B,PRÉSTAMOS!G:G,""))</f>
        <v>Pereira</v>
      </c>
      <c r="G86" t="str">
        <f>+IF(_xlfn.XLOOKUP(Clientes[[#This Row],[IDENTIFICACIÓN]],PRÉSTAMOS!$B:$B,PRÉSTAMOS!H:H,"")=0,"",_xlfn.XLOOKUP(Clientes[[#This Row],[IDENTIFICACIÓN]],PRÉSTAMOS!$B:$B,PRÉSTAMOS!H:H,""))</f>
        <v>Risaralda</v>
      </c>
      <c r="H86">
        <f>+IF(_xlfn.XLOOKUP(Clientes[[#This Row],[IDENTIFICACIÓN]],PRÉSTAMOS!$B:$B,PRÉSTAMOS!I:I,"")=0,"",_xlfn.XLOOKUP(Clientes[[#This Row],[IDENTIFICACIÓN]],PRÉSTAMOS!$B:$B,PRÉSTAMOS!I:I,""))</f>
        <v>3104733599</v>
      </c>
      <c r="I86" t="str">
        <f>+IF(_xlfn.XLOOKUP(Clientes[[#This Row],[IDENTIFICACIÓN]],PRÉSTAMOS!$B:$B,PRÉSTAMOS!J:J,"")=0,"",_xlfn.XLOOKUP(Clientes[[#This Row],[IDENTIFICACIÓN]],PRÉSTAMOS!$B:$B,PRÉSTAMOS!J:J,""))</f>
        <v>pedritonel0705@hotmail.com</v>
      </c>
    </row>
    <row r="87" spans="1:9" x14ac:dyDescent="0.25">
      <c r="A87" t="str">
        <f>+_xlfn.XLOOKUP(Clientes[[#This Row],[IDENTIFICACIÓN]],PRÉSTAMOS!$B:$B,PRÉSTAMOS!A:A)</f>
        <v>MARISOL SALINAS SERNA</v>
      </c>
      <c r="B87">
        <v>31419074</v>
      </c>
      <c r="C87" t="str">
        <f>+IF(_xlfn.XLOOKUP(Clientes[[#This Row],[IDENTIFICACIÓN]],PRÉSTAMOS!$B:$B,PRÉSTAMOS!C:C,"")=0,"",_xlfn.XLOOKUP(Clientes[[#This Row],[IDENTIFICACIÓN]],PRÉSTAMOS!$B:$B,PRÉSTAMOS!C:C,""))</f>
        <v>Cartago</v>
      </c>
      <c r="D87" t="str">
        <f>+IF(_xlfn.XLOOKUP(Clientes[[#This Row],[IDENTIFICACIÓN]],PRÉSTAMOS!$B:$B,PRÉSTAMOS!E:E,"")=0,"",_xlfn.XLOOKUP(Clientes[[#This Row],[IDENTIFICACIÓN]],PRÉSTAMOS!$B:$B,PRÉSTAMOS!E:E,""))</f>
        <v>Diagonal 1A # 1T-05</v>
      </c>
      <c r="E87" t="str">
        <f>+IF(_xlfn.XLOOKUP(Clientes[[#This Row],[IDENTIFICACIÓN]],PRÉSTAMOS!$B:$B,PRÉSTAMOS!F:F,"")=0,"",_xlfn.XLOOKUP(Clientes[[#This Row],[IDENTIFICACIÓN]],PRÉSTAMOS!$B:$B,PRÉSTAMOS!F:F,""))</f>
        <v>Paraíso</v>
      </c>
      <c r="F87" t="str">
        <f>+IF(_xlfn.XLOOKUP(Clientes[[#This Row],[IDENTIFICACIÓN]],PRÉSTAMOS!$B:$B,PRÉSTAMOS!G:G,"")=0,"",_xlfn.XLOOKUP(Clientes[[#This Row],[IDENTIFICACIÓN]],PRÉSTAMOS!$B:$B,PRÉSTAMOS!G:G,""))</f>
        <v>Cartago</v>
      </c>
      <c r="G87" t="str">
        <f>+IF(_xlfn.XLOOKUP(Clientes[[#This Row],[IDENTIFICACIÓN]],PRÉSTAMOS!$B:$B,PRÉSTAMOS!H:H,"")=0,"",_xlfn.XLOOKUP(Clientes[[#This Row],[IDENTIFICACIÓN]],PRÉSTAMOS!$B:$B,PRÉSTAMOS!H:H,""))</f>
        <v>Valle del Cauca</v>
      </c>
      <c r="H87">
        <f>+IF(_xlfn.XLOOKUP(Clientes[[#This Row],[IDENTIFICACIÓN]],PRÉSTAMOS!$B:$B,PRÉSTAMOS!I:I,"")=0,"",_xlfn.XLOOKUP(Clientes[[#This Row],[IDENTIFICACIÓN]],PRÉSTAMOS!$B:$B,PRÉSTAMOS!I:I,""))</f>
        <v>3137320922</v>
      </c>
      <c r="I87" t="str">
        <f>+IF(_xlfn.XLOOKUP(Clientes[[#This Row],[IDENTIFICACIÓN]],PRÉSTAMOS!$B:$B,PRÉSTAMOS!J:J,"")=0,"",_xlfn.XLOOKUP(Clientes[[#This Row],[IDENTIFICACIÓN]],PRÉSTAMOS!$B:$B,PRÉSTAMOS!J:J,""))</f>
        <v/>
      </c>
    </row>
    <row r="88" spans="1:9" x14ac:dyDescent="0.25">
      <c r="A88" t="str">
        <f>+_xlfn.XLOOKUP(Clientes[[#This Row],[IDENTIFICACIÓN]],PRÉSTAMOS!$B:$B,PRÉSTAMOS!A:A)</f>
        <v>ALEYDA ALARCÓN ARIAS</v>
      </c>
      <c r="B88">
        <v>25157828</v>
      </c>
      <c r="C88" t="str">
        <f>+IF(_xlfn.XLOOKUP(Clientes[[#This Row],[IDENTIFICACIÓN]],PRÉSTAMOS!$B:$B,PRÉSTAMOS!C:C,"")=0,"",_xlfn.XLOOKUP(Clientes[[#This Row],[IDENTIFICACIÓN]],PRÉSTAMOS!$B:$B,PRÉSTAMOS!C:C,""))</f>
        <v>Santa Rosa de Cabal</v>
      </c>
      <c r="D88" t="str">
        <f>+IF(_xlfn.XLOOKUP(Clientes[[#This Row],[IDENTIFICACIÓN]],PRÉSTAMOS!$B:$B,PRÉSTAMOS!E:E,"")=0,"",_xlfn.XLOOKUP(Clientes[[#This Row],[IDENTIFICACIÓN]],PRÉSTAMOS!$B:$B,PRÉSTAMOS!E:E,""))</f>
        <v>Calle 10 # 15-44</v>
      </c>
      <c r="E88" t="str">
        <f>+IF(_xlfn.XLOOKUP(Clientes[[#This Row],[IDENTIFICACIÓN]],PRÉSTAMOS!$B:$B,PRÉSTAMOS!F:F,"")=0,"",_xlfn.XLOOKUP(Clientes[[#This Row],[IDENTIFICACIÓN]],PRÉSTAMOS!$B:$B,PRÉSTAMOS!F:F,""))</f>
        <v>La Quiebra</v>
      </c>
      <c r="F88" t="str">
        <f>+IF(_xlfn.XLOOKUP(Clientes[[#This Row],[IDENTIFICACIÓN]],PRÉSTAMOS!$B:$B,PRÉSTAMOS!G:G,"")=0,"",_xlfn.XLOOKUP(Clientes[[#This Row],[IDENTIFICACIÓN]],PRÉSTAMOS!$B:$B,PRÉSTAMOS!G:G,""))</f>
        <v>Santa Rosa de Cabal</v>
      </c>
      <c r="G88" t="str">
        <f>+IF(_xlfn.XLOOKUP(Clientes[[#This Row],[IDENTIFICACIÓN]],PRÉSTAMOS!$B:$B,PRÉSTAMOS!H:H,"")=0,"",_xlfn.XLOOKUP(Clientes[[#This Row],[IDENTIFICACIÓN]],PRÉSTAMOS!$B:$B,PRÉSTAMOS!H:H,""))</f>
        <v>Risaralda</v>
      </c>
      <c r="H88">
        <f>+IF(_xlfn.XLOOKUP(Clientes[[#This Row],[IDENTIFICACIÓN]],PRÉSTAMOS!$B:$B,PRÉSTAMOS!I:I,"")=0,"",_xlfn.XLOOKUP(Clientes[[#This Row],[IDENTIFICACIÓN]],PRÉSTAMOS!$B:$B,PRÉSTAMOS!I:I,""))</f>
        <v>3218330369</v>
      </c>
      <c r="I88" t="str">
        <f>+IF(_xlfn.XLOOKUP(Clientes[[#This Row],[IDENTIFICACIÓN]],PRÉSTAMOS!$B:$B,PRÉSTAMOS!J:J,"")=0,"",_xlfn.XLOOKUP(Clientes[[#This Row],[IDENTIFICACIÓN]],PRÉSTAMOS!$B:$B,PRÉSTAMOS!J:J,""))</f>
        <v>vivi071285@hotmail.com</v>
      </c>
    </row>
    <row r="89" spans="1:9" x14ac:dyDescent="0.25">
      <c r="A89" t="str">
        <f>+_xlfn.XLOOKUP(Clientes[[#This Row],[IDENTIFICACIÓN]],PRÉSTAMOS!$B:$B,PRÉSTAMOS!A:A)</f>
        <v>MARIA ROSALBA HENAO ECHEVERRI</v>
      </c>
      <c r="B89">
        <v>24929445</v>
      </c>
      <c r="C89" t="str">
        <f>+IF(_xlfn.XLOOKUP(Clientes[[#This Row],[IDENTIFICACIÓN]],PRÉSTAMOS!$B:$B,PRÉSTAMOS!C:C,"")=0,"",_xlfn.XLOOKUP(Clientes[[#This Row],[IDENTIFICACIÓN]],PRÉSTAMOS!$B:$B,PRÉSTAMOS!C:C,""))</f>
        <v>Pereira</v>
      </c>
      <c r="D89" t="str">
        <f>+IF(_xlfn.XLOOKUP(Clientes[[#This Row],[IDENTIFICACIÓN]],PRÉSTAMOS!$B:$B,PRÉSTAMOS!E:E,"")=0,"",_xlfn.XLOOKUP(Clientes[[#This Row],[IDENTIFICACIÓN]],PRÉSTAMOS!$B:$B,PRÉSTAMOS!E:E,""))</f>
        <v>Carrera 15 #171-38</v>
      </c>
      <c r="E89" t="str">
        <f>+IF(_xlfn.XLOOKUP(Clientes[[#This Row],[IDENTIFICACIÓN]],PRÉSTAMOS!$B:$B,PRÉSTAMOS!F:F,"")=0,"",_xlfn.XLOOKUP(Clientes[[#This Row],[IDENTIFICACIÓN]],PRÉSTAMOS!$B:$B,PRÉSTAMOS!F:F,""))</f>
        <v>La Esperanza</v>
      </c>
      <c r="F89" t="str">
        <f>+IF(_xlfn.XLOOKUP(Clientes[[#This Row],[IDENTIFICACIÓN]],PRÉSTAMOS!$B:$B,PRÉSTAMOS!G:G,"")=0,"",_xlfn.XLOOKUP(Clientes[[#This Row],[IDENTIFICACIÓN]],PRÉSTAMOS!$B:$B,PRÉSTAMOS!G:G,""))</f>
        <v>Pereira</v>
      </c>
      <c r="G89" t="str">
        <f>+IF(_xlfn.XLOOKUP(Clientes[[#This Row],[IDENTIFICACIÓN]],PRÉSTAMOS!$B:$B,PRÉSTAMOS!H:H,"")=0,"",_xlfn.XLOOKUP(Clientes[[#This Row],[IDENTIFICACIÓN]],PRÉSTAMOS!$B:$B,PRÉSTAMOS!H:H,""))</f>
        <v>Risaralda</v>
      </c>
      <c r="H89">
        <f>+IF(_xlfn.XLOOKUP(Clientes[[#This Row],[IDENTIFICACIÓN]],PRÉSTAMOS!$B:$B,PRÉSTAMOS!I:I,"")=0,"",_xlfn.XLOOKUP(Clientes[[#This Row],[IDENTIFICACIÓN]],PRÉSTAMOS!$B:$B,PRÉSTAMOS!I:I,""))</f>
        <v>3104454479</v>
      </c>
      <c r="I89" t="str">
        <f>+IF(_xlfn.XLOOKUP(Clientes[[#This Row],[IDENTIFICACIÓN]],PRÉSTAMOS!$B:$B,PRÉSTAMOS!J:J,"")=0,"",_xlfn.XLOOKUP(Clientes[[#This Row],[IDENTIFICACIÓN]],PRÉSTAMOS!$B:$B,PRÉSTAMOS!J:J,""))</f>
        <v>henaomariarosalba@gmail.com</v>
      </c>
    </row>
    <row r="90" spans="1:9" x14ac:dyDescent="0.25">
      <c r="A90" t="str">
        <f>+_xlfn.XLOOKUP(Clientes[[#This Row],[IDENTIFICACIÓN]],PRÉSTAMOS!$B:$B,PRÉSTAMOS!A:A)</f>
        <v>LUIS EDUARDO AMAYA GUTIERREZ</v>
      </c>
      <c r="B90">
        <v>1053802967</v>
      </c>
      <c r="C90" t="str">
        <f>+IF(_xlfn.XLOOKUP(Clientes[[#This Row],[IDENTIFICACIÓN]],PRÉSTAMOS!$B:$B,PRÉSTAMOS!C:C,"")=0,"",_xlfn.XLOOKUP(Clientes[[#This Row],[IDENTIFICACIÓN]],PRÉSTAMOS!$B:$B,PRÉSTAMOS!C:C,""))</f>
        <v>Manizales</v>
      </c>
      <c r="D90" t="str">
        <f>+IF(_xlfn.XLOOKUP(Clientes[[#This Row],[IDENTIFICACIÓN]],PRÉSTAMOS!$B:$B,PRÉSTAMOS!E:E,"")=0,"",_xlfn.XLOOKUP(Clientes[[#This Row],[IDENTIFICACIÓN]],PRÉSTAMOS!$B:$B,PRÉSTAMOS!E:E,""))</f>
        <v>Carrera 1E #13-03</v>
      </c>
      <c r="E90" t="str">
        <f>+IF(_xlfn.XLOOKUP(Clientes[[#This Row],[IDENTIFICACIÓN]],PRÉSTAMOS!$B:$B,PRÉSTAMOS!F:F,"")=0,"",_xlfn.XLOOKUP(Clientes[[#This Row],[IDENTIFICACIÓN]],PRÉSTAMOS!$B:$B,PRÉSTAMOS!F:F,""))</f>
        <v/>
      </c>
      <c r="F90" t="str">
        <f>+IF(_xlfn.XLOOKUP(Clientes[[#This Row],[IDENTIFICACIÓN]],PRÉSTAMOS!$B:$B,PRÉSTAMOS!G:G,"")=0,"",_xlfn.XLOOKUP(Clientes[[#This Row],[IDENTIFICACIÓN]],PRÉSTAMOS!$B:$B,PRÉSTAMOS!G:G,""))</f>
        <v>Anserma</v>
      </c>
      <c r="G90" t="str">
        <f>+IF(_xlfn.XLOOKUP(Clientes[[#This Row],[IDENTIFICACIÓN]],PRÉSTAMOS!$B:$B,PRÉSTAMOS!H:H,"")=0,"",_xlfn.XLOOKUP(Clientes[[#This Row],[IDENTIFICACIÓN]],PRÉSTAMOS!$B:$B,PRÉSTAMOS!H:H,""))</f>
        <v>Caldas</v>
      </c>
      <c r="H90">
        <f>+IF(_xlfn.XLOOKUP(Clientes[[#This Row],[IDENTIFICACIÓN]],PRÉSTAMOS!$B:$B,PRÉSTAMOS!I:I,"")=0,"",_xlfn.XLOOKUP(Clientes[[#This Row],[IDENTIFICACIÓN]],PRÉSTAMOS!$B:$B,PRÉSTAMOS!I:I,""))</f>
        <v>3228977542</v>
      </c>
      <c r="I90" t="str">
        <f>+IF(_xlfn.XLOOKUP(Clientes[[#This Row],[IDENTIFICACIÓN]],PRÉSTAMOS!$B:$B,PRÉSTAMOS!J:J,"")=0,"",_xlfn.XLOOKUP(Clientes[[#This Row],[IDENTIFICACIÓN]],PRÉSTAMOS!$B:$B,PRÉSTAMOS!J:J,""))</f>
        <v>luchoeduardo0509@gmail.com</v>
      </c>
    </row>
    <row r="91" spans="1:9" x14ac:dyDescent="0.25">
      <c r="A91" t="str">
        <f>+_xlfn.XLOOKUP(Clientes[[#This Row],[IDENTIFICACIÓN]],PRÉSTAMOS!$B:$B,PRÉSTAMOS!A:A)</f>
        <v>RAFAEL ENRIQUE MUÑOZ VIRGUEZ</v>
      </c>
      <c r="B91">
        <v>10183030</v>
      </c>
      <c r="C91" t="s">
        <v>1041</v>
      </c>
      <c r="D91" t="str">
        <f>+IF(_xlfn.XLOOKUP(Clientes[[#This Row],[IDENTIFICACIÓN]],PRÉSTAMOS!$B:$B,PRÉSTAMOS!E:E,"")=0,"",_xlfn.XLOOKUP(Clientes[[#This Row],[IDENTIFICACIÓN]],PRÉSTAMOS!$B:$B,PRÉSTAMOS!E:E,""))</f>
        <v>Calle 8A # 21A-26</v>
      </c>
      <c r="E91" t="str">
        <f>+IF(_xlfn.XLOOKUP(Clientes[[#This Row],[IDENTIFICACIÓN]],PRÉSTAMOS!$B:$B,PRÉSTAMOS!F:F,"")=0,"",_xlfn.XLOOKUP(Clientes[[#This Row],[IDENTIFICACIÓN]],PRÉSTAMOS!$B:$B,PRÉSTAMOS!F:F,""))</f>
        <v>Las Margaritas</v>
      </c>
      <c r="F91" t="s">
        <v>1041</v>
      </c>
      <c r="G91" t="s">
        <v>83</v>
      </c>
      <c r="H91">
        <v>3142599562</v>
      </c>
      <c r="I91" s="133" t="s">
        <v>1044</v>
      </c>
    </row>
    <row r="92" spans="1:9" x14ac:dyDescent="0.25">
      <c r="A92" t="str">
        <f>+_xlfn.XLOOKUP(Clientes[[#This Row],[IDENTIFICACIÓN]],PRÉSTAMOS!$B:$B,PRÉSTAMOS!A:A)</f>
        <v>MARÍA LIGIA TORO GARCÍA</v>
      </c>
      <c r="B92">
        <v>24761361</v>
      </c>
      <c r="C92" t="str">
        <f>+IF(_xlfn.XLOOKUP(Clientes[[#This Row],[IDENTIFICACIÓN]],PRÉSTAMOS!$B:$B,PRÉSTAMOS!C:C,"")=0,"",_xlfn.XLOOKUP(Clientes[[#This Row],[IDENTIFICACIÓN]],PRÉSTAMOS!$B:$B,PRÉSTAMOS!C:C,""))</f>
        <v>Marsella</v>
      </c>
      <c r="D92" t="str">
        <f>+IF(_xlfn.XLOOKUP(Clientes[[#This Row],[IDENTIFICACIÓN]],PRÉSTAMOS!$B:$B,PRÉSTAMOS!E:E,"")=0,"",_xlfn.XLOOKUP(Clientes[[#This Row],[IDENTIFICACIÓN]],PRÉSTAMOS!$B:$B,PRÉSTAMOS!E:E,""))</f>
        <v>Vereda Palmilla, km. 15 vía Pereira-Alcalá</v>
      </c>
      <c r="E92" t="str">
        <f>+IF(_xlfn.XLOOKUP(Clientes[[#This Row],[IDENTIFICACIÓN]],PRÉSTAMOS!$B:$B,PRÉSTAMOS!F:F,"")=0,"",_xlfn.XLOOKUP(Clientes[[#This Row],[IDENTIFICACIÓN]],PRÉSTAMOS!$B:$B,PRÉSTAMOS!F:F,""))</f>
        <v>Finca La Palma</v>
      </c>
      <c r="F92" t="str">
        <f>+IF(_xlfn.XLOOKUP(Clientes[[#This Row],[IDENTIFICACIÓN]],PRÉSTAMOS!$B:$B,PRÉSTAMOS!G:G,"")=0,"",_xlfn.XLOOKUP(Clientes[[#This Row],[IDENTIFICACIÓN]],PRÉSTAMOS!$B:$B,PRÉSTAMOS!G:G,""))</f>
        <v>Pereira</v>
      </c>
      <c r="G92" t="str">
        <f>+IF(_xlfn.XLOOKUP(Clientes[[#This Row],[IDENTIFICACIÓN]],PRÉSTAMOS!$B:$B,PRÉSTAMOS!H:H,"")=0,"",_xlfn.XLOOKUP(Clientes[[#This Row],[IDENTIFICACIÓN]],PRÉSTAMOS!$B:$B,PRÉSTAMOS!H:H,""))</f>
        <v>Risaralda</v>
      </c>
      <c r="H92">
        <f>+IF(_xlfn.XLOOKUP(Clientes[[#This Row],[IDENTIFICACIÓN]],PRÉSTAMOS!$B:$B,PRÉSTAMOS!I:I,"")=0,"",_xlfn.XLOOKUP(Clientes[[#This Row],[IDENTIFICACIÓN]],PRÉSTAMOS!$B:$B,PRÉSTAMOS!I:I,""))</f>
        <v>3215649948</v>
      </c>
      <c r="I92" t="str">
        <f>+IF(_xlfn.XLOOKUP(Clientes[[#This Row],[IDENTIFICACIÓN]],PRÉSTAMOS!$B:$B,PRÉSTAMOS!J:J,"")=0,"",_xlfn.XLOOKUP(Clientes[[#This Row],[IDENTIFICACIÓN]],PRÉSTAMOS!$B:$B,PRÉSTAMOS!J:J,""))</f>
        <v>marialigiatorogarcia7@gmail.com</v>
      </c>
    </row>
    <row r="93" spans="1:9" x14ac:dyDescent="0.25">
      <c r="A93" t="str">
        <f>+_xlfn.XLOOKUP(Clientes[[#This Row],[IDENTIFICACIÓN]],PRÉSTAMOS!$B:$B,PRÉSTAMOS!A:A)</f>
        <v>SEIDER ANDERSON HENAO CORREA</v>
      </c>
      <c r="B93">
        <v>1087994842</v>
      </c>
      <c r="C93" t="str">
        <f>+IF(_xlfn.XLOOKUP(Clientes[[#This Row],[IDENTIFICACIÓN]],PRÉSTAMOS!$B:$B,PRÉSTAMOS!C:C,"")=0,"",_xlfn.XLOOKUP(Clientes[[#This Row],[IDENTIFICACIÓN]],PRÉSTAMOS!$B:$B,PRÉSTAMOS!C:C,""))</f>
        <v>Dosquebradas</v>
      </c>
      <c r="D93" t="str">
        <f>+IF(_xlfn.XLOOKUP(Clientes[[#This Row],[IDENTIFICACIÓN]],PRÉSTAMOS!$B:$B,PRÉSTAMOS!E:E,"")=0,"",_xlfn.XLOOKUP(Clientes[[#This Row],[IDENTIFICACIÓN]],PRÉSTAMOS!$B:$B,PRÉSTAMOS!E:E,""))</f>
        <v>Bloque 1 Apartamento 302</v>
      </c>
      <c r="E93" t="str">
        <f>+IF(_xlfn.XLOOKUP(Clientes[[#This Row],[IDENTIFICACIÓN]],PRÉSTAMOS!$B:$B,PRÉSTAMOS!F:F,"")=0,"",_xlfn.XLOOKUP(Clientes[[#This Row],[IDENTIFICACIÓN]],PRÉSTAMOS!$B:$B,PRÉSTAMOS!F:F,""))</f>
        <v>B/Bosques de Santa Mónica</v>
      </c>
      <c r="F93" t="str">
        <f>+IF(_xlfn.XLOOKUP(Clientes[[#This Row],[IDENTIFICACIÓN]],PRÉSTAMOS!$B:$B,PRÉSTAMOS!G:G,"")=0,"",_xlfn.XLOOKUP(Clientes[[#This Row],[IDENTIFICACIÓN]],PRÉSTAMOS!$B:$B,PRÉSTAMOS!G:G,""))</f>
        <v>Pereira</v>
      </c>
      <c r="G93" t="str">
        <f>+IF(_xlfn.XLOOKUP(Clientes[[#This Row],[IDENTIFICACIÓN]],PRÉSTAMOS!$B:$B,PRÉSTAMOS!H:H,"")=0,"",_xlfn.XLOOKUP(Clientes[[#This Row],[IDENTIFICACIÓN]],PRÉSTAMOS!$B:$B,PRÉSTAMOS!H:H,""))</f>
        <v>Risaralda</v>
      </c>
      <c r="H93">
        <f>+IF(_xlfn.XLOOKUP(Clientes[[#This Row],[IDENTIFICACIÓN]],PRÉSTAMOS!$B:$B,PRÉSTAMOS!I:I,"")=0,"",_xlfn.XLOOKUP(Clientes[[#This Row],[IDENTIFICACIÓN]],PRÉSTAMOS!$B:$B,PRÉSTAMOS!I:I,""))</f>
        <v>3023016277</v>
      </c>
      <c r="I93" t="str">
        <f>+IF(_xlfn.XLOOKUP(Clientes[[#This Row],[IDENTIFICACIÓN]],PRÉSTAMOS!$B:$B,PRÉSTAMOS!J:J,"")=0,"",_xlfn.XLOOKUP(Clientes[[#This Row],[IDENTIFICACIÓN]],PRÉSTAMOS!$B:$B,PRÉSTAMOS!J:J,""))</f>
        <v>seider-088@hotmail.com</v>
      </c>
    </row>
    <row r="94" spans="1:9" x14ac:dyDescent="0.25">
      <c r="A94" t="str">
        <f>+_xlfn.XLOOKUP(Clientes[[#This Row],[IDENTIFICACIÓN]],PRÉSTAMOS!$B:$B,PRÉSTAMOS!A:A)</f>
        <v>ABELARDO ANTONIO CALLE</v>
      </c>
      <c r="B94">
        <v>9955716</v>
      </c>
      <c r="C94" t="str">
        <f>+IF(_xlfn.XLOOKUP(Clientes[[#This Row],[IDENTIFICACIÓN]],PRÉSTAMOS!$B:$B,PRÉSTAMOS!C:C,"")=0,"",_xlfn.XLOOKUP(Clientes[[#This Row],[IDENTIFICACIÓN]],PRÉSTAMOS!$B:$B,PRÉSTAMOS!C:C,""))</f>
        <v>Santuario</v>
      </c>
      <c r="D94" t="str">
        <f>+IF(_xlfn.XLOOKUP(Clientes[[#This Row],[IDENTIFICACIÓN]],PRÉSTAMOS!$B:$B,PRÉSTAMOS!E:E,"")=0,"",_xlfn.XLOOKUP(Clientes[[#This Row],[IDENTIFICACIÓN]],PRÉSTAMOS!$B:$B,PRÉSTAMOS!E:E,""))</f>
        <v>Calle 36 # 6B-08</v>
      </c>
      <c r="E94" t="str">
        <f>+IF(_xlfn.XLOOKUP(Clientes[[#This Row],[IDENTIFICACIÓN]],PRÉSTAMOS!$B:$B,PRÉSTAMOS!F:F,"")=0,"",_xlfn.XLOOKUP(Clientes[[#This Row],[IDENTIFICACIÓN]],PRÉSTAMOS!$B:$B,PRÉSTAMOS!F:F,""))</f>
        <v>B/1 de Febrero</v>
      </c>
      <c r="F94" t="str">
        <f>+IF(_xlfn.XLOOKUP(Clientes[[#This Row],[IDENTIFICACIÓN]],PRÉSTAMOS!$B:$B,PRÉSTAMOS!G:G,"")=0,"",_xlfn.XLOOKUP(Clientes[[#This Row],[IDENTIFICACIÓN]],PRÉSTAMOS!$B:$B,PRÉSTAMOS!G:G,""))</f>
        <v>Pereira</v>
      </c>
      <c r="G94" t="str">
        <f>+IF(_xlfn.XLOOKUP(Clientes[[#This Row],[IDENTIFICACIÓN]],PRÉSTAMOS!$B:$B,PRÉSTAMOS!H:H,"")=0,"",_xlfn.XLOOKUP(Clientes[[#This Row],[IDENTIFICACIÓN]],PRÉSTAMOS!$B:$B,PRÉSTAMOS!H:H,""))</f>
        <v>Risaralda</v>
      </c>
      <c r="H94">
        <f>+IF(_xlfn.XLOOKUP(Clientes[[#This Row],[IDENTIFICACIÓN]],PRÉSTAMOS!$B:$B,PRÉSTAMOS!I:I,"")=0,"",_xlfn.XLOOKUP(Clientes[[#This Row],[IDENTIFICACIÓN]],PRÉSTAMOS!$B:$B,PRÉSTAMOS!I:I,""))</f>
        <v>3114088034</v>
      </c>
      <c r="I94" t="str">
        <f>+IF(_xlfn.XLOOKUP(Clientes[[#This Row],[IDENTIFICACIÓN]],PRÉSTAMOS!$B:$B,PRÉSTAMOS!J:J,"")=0,"",_xlfn.XLOOKUP(Clientes[[#This Row],[IDENTIFICACIÓN]],PRÉSTAMOS!$B:$B,PRÉSTAMOS!J:J,""))</f>
        <v>acalle6701@hotmail.com</v>
      </c>
    </row>
    <row r="95" spans="1:9" x14ac:dyDescent="0.25">
      <c r="A95" t="s">
        <v>1088</v>
      </c>
      <c r="B95">
        <v>25151551</v>
      </c>
      <c r="C95" t="s">
        <v>938</v>
      </c>
      <c r="D95" t="s">
        <v>1090</v>
      </c>
      <c r="E95" t="s">
        <v>1089</v>
      </c>
      <c r="F95" t="s">
        <v>938</v>
      </c>
      <c r="G95" t="s">
        <v>73</v>
      </c>
      <c r="H95">
        <v>3104939431</v>
      </c>
      <c r="I95" s="136" t="s">
        <v>1091</v>
      </c>
    </row>
    <row r="96" spans="1:9" x14ac:dyDescent="0.25">
      <c r="A96" t="s">
        <v>533</v>
      </c>
      <c r="B96">
        <v>42057042</v>
      </c>
      <c r="C96" t="str">
        <f>+IF(_xlfn.XLOOKUP(Clientes[[#This Row],[IDENTIFICACIÓN]],PRÉSTAMOS!$B:$B,PRÉSTAMOS!C:C,"")=0,"",_xlfn.XLOOKUP(Clientes[[#This Row],[IDENTIFICACIÓN]],PRÉSTAMOS!$B:$B,PRÉSTAMOS!C:C,""))</f>
        <v>Pereira</v>
      </c>
      <c r="D96" t="s">
        <v>535</v>
      </c>
      <c r="E96" t="s">
        <v>1092</v>
      </c>
      <c r="F96" t="str">
        <f>+IF(_xlfn.XLOOKUP(Clientes[[#This Row],[IDENTIFICACIÓN]],PRÉSTAMOS!$B:$B,PRÉSTAMOS!G:G,"")=0,"",_xlfn.XLOOKUP(Clientes[[#This Row],[IDENTIFICACIÓN]],PRÉSTAMOS!$B:$B,PRÉSTAMOS!G:G,""))</f>
        <v>Pereira</v>
      </c>
      <c r="G96" t="str">
        <f>+IF(_xlfn.XLOOKUP(Clientes[[#This Row],[IDENTIFICACIÓN]],PRÉSTAMOS!$B:$B,PRÉSTAMOS!H:H,"")=0,"",_xlfn.XLOOKUP(Clientes[[#This Row],[IDENTIFICACIÓN]],PRÉSTAMOS!$B:$B,PRÉSTAMOS!H:H,""))</f>
        <v>Risaralda</v>
      </c>
      <c r="H96">
        <f>+IF(_xlfn.XLOOKUP(Clientes[[#This Row],[IDENTIFICACIÓN]],PRÉSTAMOS!$B:$B,PRÉSTAMOS!I:I,"")=0,"",_xlfn.XLOOKUP(Clientes[[#This Row],[IDENTIFICACIÓN]],PRÉSTAMOS!$B:$B,PRÉSTAMOS!I:I,""))</f>
        <v>3022795917</v>
      </c>
      <c r="I96" t="str">
        <f>+IF(_xlfn.XLOOKUP(Clientes[[#This Row],[IDENTIFICACIÓN]],PRÉSTAMOS!$B:$B,PRÉSTAMOS!J:J,"")=0,"",_xlfn.XLOOKUP(Clientes[[#This Row],[IDENTIFICACIÓN]],PRÉSTAMOS!$B:$B,PRÉSTAMOS!J:J,""))</f>
        <v>hectororozcopereira@gmail.com</v>
      </c>
    </row>
    <row r="97" spans="1:9" x14ac:dyDescent="0.25">
      <c r="A97" t="s">
        <v>356</v>
      </c>
      <c r="B97">
        <v>10069872</v>
      </c>
      <c r="C97" t="str">
        <f>+IF(_xlfn.XLOOKUP(Clientes[[#This Row],[IDENTIFICACIÓN]],PRÉSTAMOS!$B:$B,PRÉSTAMOS!C:C,"")=0,"",_xlfn.XLOOKUP(Clientes[[#This Row],[IDENTIFICACIÓN]],PRÉSTAMOS!$B:$B,PRÉSTAMOS!C:C,""))</f>
        <v>Pereira</v>
      </c>
      <c r="D97" t="s">
        <v>357</v>
      </c>
      <c r="E97" t="s">
        <v>1093</v>
      </c>
      <c r="F97" t="str">
        <f>+IF(_xlfn.XLOOKUP(Clientes[[#This Row],[IDENTIFICACIÓN]],PRÉSTAMOS!$B:$B,PRÉSTAMOS!G:G,"")=0,"",_xlfn.XLOOKUP(Clientes[[#This Row],[IDENTIFICACIÓN]],PRÉSTAMOS!$B:$B,PRÉSTAMOS!G:G,""))</f>
        <v>Pereira</v>
      </c>
      <c r="G97" t="str">
        <f>+IF(_xlfn.XLOOKUP(Clientes[[#This Row],[IDENTIFICACIÓN]],PRÉSTAMOS!$B:$B,PRÉSTAMOS!H:H,"")=0,"",_xlfn.XLOOKUP(Clientes[[#This Row],[IDENTIFICACIÓN]],PRÉSTAMOS!$B:$B,PRÉSTAMOS!H:H,""))</f>
        <v>Risaralda</v>
      </c>
      <c r="H97">
        <v>3127304803</v>
      </c>
      <c r="I97" t="str">
        <f>+IF(_xlfn.XLOOKUP(Clientes[[#This Row],[IDENTIFICACIÓN]],PRÉSTAMOS!$B:$B,PRÉSTAMOS!J:J,"")=0,"",_xlfn.XLOOKUP(Clientes[[#This Row],[IDENTIFICACIÓN]],PRÉSTAMOS!$B:$B,PRÉSTAMOS!J:J,""))</f>
        <v>jaimepereira2022@hotmail.com</v>
      </c>
    </row>
    <row r="98" spans="1:9" x14ac:dyDescent="0.25">
      <c r="A98" t="s">
        <v>1095</v>
      </c>
      <c r="B98">
        <v>18501691</v>
      </c>
      <c r="C98" t="s">
        <v>89</v>
      </c>
      <c r="D98" t="s">
        <v>1096</v>
      </c>
      <c r="E98" t="s">
        <v>1097</v>
      </c>
      <c r="F98" t="s">
        <v>89</v>
      </c>
      <c r="G98" t="s">
        <v>73</v>
      </c>
      <c r="H98">
        <v>3022375410</v>
      </c>
      <c r="I98" s="133" t="s">
        <v>1098</v>
      </c>
    </row>
    <row r="99" spans="1:9" x14ac:dyDescent="0.25">
      <c r="A99" t="s">
        <v>1103</v>
      </c>
      <c r="B99">
        <v>75072010</v>
      </c>
      <c r="C99" t="s">
        <v>80</v>
      </c>
      <c r="D99" t="s">
        <v>1100</v>
      </c>
      <c r="E99" t="s">
        <v>1101</v>
      </c>
      <c r="F99" t="s">
        <v>80</v>
      </c>
      <c r="G99" t="s">
        <v>83</v>
      </c>
      <c r="H99">
        <v>3128989929</v>
      </c>
      <c r="I99" s="133" t="s">
        <v>1102</v>
      </c>
    </row>
    <row r="100" spans="1:9" x14ac:dyDescent="0.25">
      <c r="A100" t="str">
        <f>+_xlfn.XLOOKUP(Clientes[[#This Row],[IDENTIFICACIÓN]],PRÉSTAMOS!$B:$B,PRÉSTAMOS!A:A)</f>
        <v>MARLENY VALENCIA SEPÚLVEDA</v>
      </c>
      <c r="B100">
        <v>29770801</v>
      </c>
      <c r="C100" t="str">
        <f>+IF(_xlfn.XLOOKUP(Clientes[[#This Row],[IDENTIFICACIÓN]],PRÉSTAMOS!$B:$B,PRÉSTAMOS!C:C,"")=0,"",_xlfn.XLOOKUP(Clientes[[#This Row],[IDENTIFICACIÓN]],PRÉSTAMOS!$B:$B,PRÉSTAMOS!C:C,""))</f>
        <v>Roldanillo</v>
      </c>
      <c r="D100" t="str">
        <f>+IF(_xlfn.XLOOKUP(Clientes[[#This Row],[IDENTIFICACIÓN]],PRÉSTAMOS!$B:$B,PRÉSTAMOS!E:E,"")=0,"",_xlfn.XLOOKUP(Clientes[[#This Row],[IDENTIFICACIÓN]],PRÉSTAMOS!$B:$B,PRÉSTAMOS!E:E,""))</f>
        <v>Carrera 28 Norte # 6-73</v>
      </c>
      <c r="E100" t="str">
        <f>+IF(_xlfn.XLOOKUP(Clientes[[#This Row],[IDENTIFICACIÓN]],PRÉSTAMOS!$B:$B,PRÉSTAMOS!F:F,"")=0,"",_xlfn.XLOOKUP(Clientes[[#This Row],[IDENTIFICACIÓN]],PRÉSTAMOS!$B:$B,PRÉSTAMOS!F:F,""))</f>
        <v>B/Arrayanes</v>
      </c>
      <c r="F100" t="str">
        <f>+IF(_xlfn.XLOOKUP(Clientes[[#This Row],[IDENTIFICACIÓN]],PRÉSTAMOS!$B:$B,PRÉSTAMOS!G:G,"")=0,"",_xlfn.XLOOKUP(Clientes[[#This Row],[IDENTIFICACIÓN]],PRÉSTAMOS!$B:$B,PRÉSTAMOS!G:G,""))</f>
        <v>Roldanillo</v>
      </c>
      <c r="G100" t="str">
        <f>+IF(_xlfn.XLOOKUP(Clientes[[#This Row],[IDENTIFICACIÓN]],PRÉSTAMOS!$B:$B,PRÉSTAMOS!H:H,"")=0,"",_xlfn.XLOOKUP(Clientes[[#This Row],[IDENTIFICACIÓN]],PRÉSTAMOS!$B:$B,PRÉSTAMOS!H:H,""))</f>
        <v>Valle del Cauca</v>
      </c>
      <c r="H100">
        <f>+IF(_xlfn.XLOOKUP(Clientes[[#This Row],[IDENTIFICACIÓN]],PRÉSTAMOS!$B:$B,PRÉSTAMOS!I:I,"")=0,"",_xlfn.XLOOKUP(Clientes[[#This Row],[IDENTIFICACIÓN]],PRÉSTAMOS!$B:$B,PRÉSTAMOS!I:I,""))</f>
        <v>3177350102</v>
      </c>
      <c r="I100" t="str">
        <f>+IF(_xlfn.XLOOKUP(Clientes[[#This Row],[IDENTIFICACIÓN]],PRÉSTAMOS!$B:$B,PRÉSTAMOS!J:J,"")=0,"",_xlfn.XLOOKUP(Clientes[[#This Row],[IDENTIFICACIÓN]],PRÉSTAMOS!$B:$B,PRÉSTAMOS!J:J,""))</f>
        <v>marlenyvsulp@gmail.com</v>
      </c>
    </row>
    <row r="101" spans="1:9" x14ac:dyDescent="0.25">
      <c r="A101" t="s">
        <v>1106</v>
      </c>
      <c r="B101">
        <v>4376580</v>
      </c>
      <c r="C101" t="s">
        <v>114</v>
      </c>
      <c r="D101" t="s">
        <v>1107</v>
      </c>
      <c r="E101" t="s">
        <v>1108</v>
      </c>
      <c r="F101" t="s">
        <v>938</v>
      </c>
      <c r="G101" t="s">
        <v>73</v>
      </c>
      <c r="H101">
        <v>3147516210</v>
      </c>
      <c r="I101" s="133" t="s">
        <v>1109</v>
      </c>
    </row>
    <row r="102" spans="1:9" x14ac:dyDescent="0.25">
      <c r="A102" s="137" t="s">
        <v>426</v>
      </c>
      <c r="B102">
        <v>1089721086</v>
      </c>
      <c r="C102" t="s">
        <v>427</v>
      </c>
      <c r="D102" t="s">
        <v>428</v>
      </c>
      <c r="E102" t="s">
        <v>1115</v>
      </c>
      <c r="F102" t="str">
        <f>+IF(_xlfn.XLOOKUP(Clientes[[#This Row],[IDENTIFICACIÓN]],PRÉSTAMOS!$B:$B,PRÉSTAMOS!G:G,"")=0,"",_xlfn.XLOOKUP(Clientes[[#This Row],[IDENTIFICACIÓN]],PRÉSTAMOS!$B:$B,PRÉSTAMOS!G:G,""))</f>
        <v>Dosquebradas</v>
      </c>
      <c r="G102" t="str">
        <f>+IF(_xlfn.XLOOKUP(Clientes[[#This Row],[IDENTIFICACIÓN]],PRÉSTAMOS!$B:$B,PRÉSTAMOS!H:H,"")=0,"",_xlfn.XLOOKUP(Clientes[[#This Row],[IDENTIFICACIÓN]],PRÉSTAMOS!$B:$B,PRÉSTAMOS!H:H,""))</f>
        <v>Risaralda</v>
      </c>
      <c r="H102">
        <f>+IF(_xlfn.XLOOKUP(Clientes[[#This Row],[IDENTIFICACIÓN]],PRÉSTAMOS!$B:$B,PRÉSTAMOS!I:I,"")=0,"",_xlfn.XLOOKUP(Clientes[[#This Row],[IDENTIFICACIÓN]],PRÉSTAMOS!$B:$B,PRÉSTAMOS!I:I,""))</f>
        <v>3229231452</v>
      </c>
      <c r="I102" t="str">
        <f>+IF(_xlfn.XLOOKUP(Clientes[[#This Row],[IDENTIFICACIÓN]],PRÉSTAMOS!$B:$B,PRÉSTAMOS!J:J,"")=0,"",_xlfn.XLOOKUP(Clientes[[#This Row],[IDENTIFICACIÓN]],PRÉSTAMOS!$B:$B,PRÉSTAMOS!J:J,""))</f>
        <v>maru-pino@hotmail.es</v>
      </c>
    </row>
    <row r="103" spans="1:9" x14ac:dyDescent="0.25">
      <c r="A103" t="s">
        <v>595</v>
      </c>
      <c r="B103">
        <v>24954088</v>
      </c>
      <c r="C103" t="s">
        <v>72</v>
      </c>
      <c r="D103" t="s">
        <v>1116</v>
      </c>
      <c r="E103" t="str">
        <f>+IF(_xlfn.XLOOKUP(Clientes[[#This Row],[IDENTIFICACIÓN]],PRÉSTAMOS!$B:$B,PRÉSTAMOS!F:F,"")=0,"",_xlfn.XLOOKUP(Clientes[[#This Row],[IDENTIFICACIÓN]],PRÉSTAMOS!$B:$B,PRÉSTAMOS!F:F,""))</f>
        <v>Centro</v>
      </c>
      <c r="F103" t="str">
        <f>+IF(_xlfn.XLOOKUP(Clientes[[#This Row],[IDENTIFICACIÓN]],PRÉSTAMOS!$B:$B,PRÉSTAMOS!G:G,"")=0,"",_xlfn.XLOOKUP(Clientes[[#This Row],[IDENTIFICACIÓN]],PRÉSTAMOS!$B:$B,PRÉSTAMOS!G:G,""))</f>
        <v>Pereira</v>
      </c>
      <c r="G103" t="str">
        <f>+IF(_xlfn.XLOOKUP(Clientes[[#This Row],[IDENTIFICACIÓN]],PRÉSTAMOS!$B:$B,PRÉSTAMOS!H:H,"")=0,"",_xlfn.XLOOKUP(Clientes[[#This Row],[IDENTIFICACIÓN]],PRÉSTAMOS!$B:$B,PRÉSTAMOS!H:H,""))</f>
        <v>Risaralda</v>
      </c>
      <c r="H103">
        <f>+IF(_xlfn.XLOOKUP(Clientes[[#This Row],[IDENTIFICACIÓN]],PRÉSTAMOS!$B:$B,PRÉSTAMOS!I:I,"")=0,"",_xlfn.XLOOKUP(Clientes[[#This Row],[IDENTIFICACIÓN]],PRÉSTAMOS!$B:$B,PRÉSTAMOS!I:I,""))</f>
        <v>3128651170</v>
      </c>
      <c r="I103" t="str">
        <f>+IF(_xlfn.XLOOKUP(Clientes[[#This Row],[IDENTIFICACIÓN]],PRÉSTAMOS!$B:$B,PRÉSTAMOS!J:J,"")=0,"",_xlfn.XLOOKUP(Clientes[[#This Row],[IDENTIFICACIÓN]],PRÉSTAMOS!$B:$B,PRÉSTAMOS!J:J,""))</f>
        <v>mariafidelinasanchez25@gmail.com</v>
      </c>
    </row>
    <row r="104" spans="1:9" x14ac:dyDescent="0.25">
      <c r="A104" t="s">
        <v>1124</v>
      </c>
      <c r="B104">
        <v>10192256</v>
      </c>
      <c r="C104" t="s">
        <v>387</v>
      </c>
      <c r="D104" t="s">
        <v>302</v>
      </c>
      <c r="E104" t="s">
        <v>303</v>
      </c>
      <c r="F104" t="s">
        <v>72</v>
      </c>
      <c r="G104" t="s">
        <v>73</v>
      </c>
      <c r="H104">
        <v>3122956598</v>
      </c>
      <c r="I104" s="133" t="s">
        <v>1125</v>
      </c>
    </row>
    <row r="105" spans="1:9" x14ac:dyDescent="0.25">
      <c r="A105" t="s">
        <v>23</v>
      </c>
      <c r="B105">
        <v>10109440</v>
      </c>
      <c r="C105" t="s">
        <v>72</v>
      </c>
      <c r="D105" t="s">
        <v>1127</v>
      </c>
      <c r="E105" t="s">
        <v>1128</v>
      </c>
      <c r="F105" t="s">
        <v>89</v>
      </c>
      <c r="G105" t="s">
        <v>73</v>
      </c>
      <c r="H105">
        <f>+IF(_xlfn.XLOOKUP(Clientes[[#This Row],[IDENTIFICACIÓN]],PRÉSTAMOS!$B:$B,PRÉSTAMOS!I:I,"")=0,"",_xlfn.XLOOKUP(Clientes[[#This Row],[IDENTIFICACIÓN]],PRÉSTAMOS!$B:$B,PRÉSTAMOS!I:I,""))</f>
        <v>3053413440</v>
      </c>
      <c r="I105" s="133" t="s">
        <v>1129</v>
      </c>
    </row>
  </sheetData>
  <hyperlinks>
    <hyperlink ref="I91" r:id="rId1" xr:uid="{5592B851-3BD8-4AC4-8F0A-D6BDDE8C8D4A}"/>
    <hyperlink ref="I95" r:id="rId2" xr:uid="{79A2184F-B509-4433-8367-CF69202B7A51}"/>
    <hyperlink ref="I98" r:id="rId3" xr:uid="{54A7FE8E-8D70-4814-973D-128455B1C3DF}"/>
    <hyperlink ref="I99" r:id="rId4" xr:uid="{16E1A568-6041-4A00-A3F2-8EA0768E5D6D}"/>
    <hyperlink ref="I101" r:id="rId5" xr:uid="{AB52F29A-FCF8-4CB4-8593-DB4E9484009B}"/>
    <hyperlink ref="I104" r:id="rId6" xr:uid="{69326C9C-228B-41E8-9F99-4E11BEC91B14}"/>
    <hyperlink ref="I105" r:id="rId7" xr:uid="{3C1809FD-455F-4E9F-8189-6E68E8710B89}"/>
  </hyperlinks>
  <pageMargins left="0.7" right="0.7" top="0.75" bottom="0.75" header="0.3" footer="0.3"/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EEFB-04B9-4799-AC83-305AF7539F92}">
  <sheetPr codeName="Hoja3"/>
  <dimension ref="A1:U217"/>
  <sheetViews>
    <sheetView tabSelected="1" topLeftCell="S106" zoomScale="115" zoomScaleNormal="115" workbookViewId="0">
      <selection activeCell="AA131" sqref="AA131"/>
    </sheetView>
  </sheetViews>
  <sheetFormatPr baseColWidth="10" defaultRowHeight="15" x14ac:dyDescent="0.25"/>
  <cols>
    <col min="1" max="1" width="16.5703125" customWidth="1"/>
    <col min="2" max="2" width="13.42578125" bestFit="1" customWidth="1"/>
    <col min="3" max="3" width="17.42578125" customWidth="1"/>
    <col min="4" max="4" width="21.5703125" customWidth="1"/>
    <col min="5" max="5" width="63.140625" bestFit="1" customWidth="1"/>
    <col min="6" max="6" width="15.28515625" customWidth="1"/>
    <col min="8" max="9" width="24.140625" bestFit="1" customWidth="1"/>
    <col min="10" max="10" width="74.140625" bestFit="1" customWidth="1"/>
    <col min="11" max="11" width="15.5703125" bestFit="1" customWidth="1"/>
    <col min="12" max="12" width="17.28515625" style="125" customWidth="1"/>
    <col min="13" max="13" width="18.85546875" customWidth="1"/>
    <col min="14" max="14" width="36.28515625" customWidth="1"/>
    <col min="15" max="15" width="16.85546875" customWidth="1"/>
    <col min="17" max="17" width="11.85546875" bestFit="1" customWidth="1"/>
  </cols>
  <sheetData>
    <row r="1" spans="1:20" x14ac:dyDescent="0.25">
      <c r="A1" t="s">
        <v>48</v>
      </c>
      <c r="B1" t="s">
        <v>637</v>
      </c>
      <c r="C1" s="126" t="s">
        <v>52</v>
      </c>
      <c r="D1" s="126" t="s">
        <v>636</v>
      </c>
      <c r="E1" t="s">
        <v>635</v>
      </c>
      <c r="F1" s="126" t="s">
        <v>62</v>
      </c>
      <c r="G1" s="127" t="s">
        <v>53</v>
      </c>
      <c r="H1" s="132" t="s">
        <v>54</v>
      </c>
      <c r="I1" t="s">
        <v>66</v>
      </c>
      <c r="J1" t="s">
        <v>55</v>
      </c>
      <c r="K1" s="126" t="s">
        <v>56</v>
      </c>
      <c r="L1" s="125" t="s">
        <v>57</v>
      </c>
      <c r="M1" t="s">
        <v>58</v>
      </c>
      <c r="N1" s="125" t="s">
        <v>59</v>
      </c>
      <c r="O1" t="s">
        <v>60</v>
      </c>
      <c r="P1" t="s">
        <v>962</v>
      </c>
      <c r="Q1" t="s">
        <v>963</v>
      </c>
      <c r="R1" t="s">
        <v>991</v>
      </c>
      <c r="S1" t="s">
        <v>992</v>
      </c>
    </row>
    <row r="2" spans="1:20" x14ac:dyDescent="0.25">
      <c r="A2">
        <v>419</v>
      </c>
      <c r="B2">
        <f>+_xlfn.XLOOKUP($A2,PRÉSTAMOS!$D:$D,PRÉSTAMOS!B:B)</f>
        <v>10059740</v>
      </c>
      <c r="C2" s="126">
        <f>+_xlfn.XLOOKUP($A2,PRÉSTAMOS!$D:$D,PRÉSTAMOS!K:K)</f>
        <v>1700000</v>
      </c>
      <c r="D2" s="126" cm="1">
        <f t="array" ref="D2">+ValorProyectado_Aritmetico(C2,0.13,3)</f>
        <v>3863000</v>
      </c>
      <c r="E2" t="str" cm="1">
        <f t="array" ref="E2">+CONVERTIRNUM(D2)</f>
        <v>Tres Millones Ochocientos Sesenta y Tres Mil Pesos</v>
      </c>
      <c r="F2" s="126" cm="1">
        <f t="array" ref="F2">+Honorarios(D2,0.13)</f>
        <v>502190</v>
      </c>
      <c r="G2" s="127">
        <f>+_xlfn.XLOOKUP($A2,PRÉSTAMOS!$D:$D,PRÉSTAMOS!P:P)/100</f>
        <v>0</v>
      </c>
      <c r="H2" s="132">
        <v>44942</v>
      </c>
      <c r="I2" s="132">
        <f>+DATE(YEAR(Contratos[[#This Row],[FECHA DESEMBOLSO]]),MONTH(Contratos[[#This Row],[FECHA DESEMBOLSO]])+3,DAY(Contratos[[#This Row],[FECHA DESEMBOLSO]]))</f>
        <v>45032</v>
      </c>
      <c r="J2" t="str">
        <f>+_xlfn.XLOOKUP($A2,PRÉSTAMOS!$D:$D,PRÉSTAMOS!S:S)</f>
        <v>Honorarios</v>
      </c>
      <c r="K2" s="126">
        <f>+IFERROR(_xlfn.XLOOKUP(Contratos[[#This Row],[No. CONTRATO]],CajaTotal[REFERENCIA],CajaTotal[DEBITO]),0)</f>
        <v>0</v>
      </c>
      <c r="L2" s="125" t="str" cm="1">
        <f t="array" ref="L2">+IFERROR(MAX(_xlfn._xlws.FILTER(CajaTotal[FECHA],CajaTotal[REFERENCIA]=Contratos[[#This Row],[No. CONTRATO]])),"")</f>
        <v/>
      </c>
      <c r="M2" t="str">
        <f>+IF(_xlfn.XLOOKUP($A2,PRÉSTAMOS!$D:$D,PRÉSTAMOS!V:V)=0,"",_xlfn.XLOOKUP($A2,PRÉSTAMOS!$D:$D,PRÉSTAMOS!V:V))</f>
        <v/>
      </c>
      <c r="N2" s="125" t="str">
        <f>+IF(_xlfn.XLOOKUP($A2,PRÉSTAMOS!$D:$D,PRÉSTAMOS!W:W)=0,"",_xlfn.XLOOKUP($A2,PRÉSTAMOS!$D:$D,PRÉSTAMOS!W:W))</f>
        <v/>
      </c>
      <c r="O2" s="125" t="str">
        <f>+IF(_xlfn.XLOOKUP($A2,PRÉSTAMOS!$D:$D,PRÉSTAMOS!X:X)=0,"",_xlfn.XLOOKUP($A2,PRÉSTAMOS!$D:$D,PRÉSTAMOS!X:X))</f>
        <v/>
      </c>
      <c r="R2" t="str">
        <f ca="1">+IF(Contratos[[#This Row],[JURIDICO]]=1,"PROCESO JURIDICO",IF(I2&lt;TODAY(),"VENCIDO","ACTIVO"))</f>
        <v>VENCIDO</v>
      </c>
    </row>
    <row r="3" spans="1:20" hidden="1" x14ac:dyDescent="0.25">
      <c r="A3">
        <v>420</v>
      </c>
      <c r="B3">
        <f>+_xlfn.XLOOKUP($A3,PRÉSTAMOS!$D:$D,PRÉSTAMOS!B:B)</f>
        <v>10084648</v>
      </c>
      <c r="C3" s="126">
        <f>+_xlfn.XLOOKUP($A3,PRÉSTAMOS!$D:$D,PRÉSTAMOS!K:K)</f>
        <v>300000</v>
      </c>
      <c r="D3" s="126" cm="1">
        <f t="array" ref="D3">+ValorProyectado_Aritmetico(C3,0.13,3)</f>
        <v>1917000</v>
      </c>
      <c r="E3" t="str" cm="1">
        <f t="array" ref="E3">+CONVERTIRNUM(D3)</f>
        <v>Un Millón Novecientos Diecisiete Mil Pesos</v>
      </c>
      <c r="F3" s="126" cm="1">
        <f t="array" ref="F3">+Honorarios(D3,0.13)</f>
        <v>249210</v>
      </c>
      <c r="G3" s="127">
        <f>+_xlfn.XLOOKUP($A3,PRÉSTAMOS!$D:$D,PRÉSTAMOS!P:P)/100</f>
        <v>0.13</v>
      </c>
      <c r="H3" s="132">
        <v>44942</v>
      </c>
      <c r="I3" s="132">
        <f>+DATE(YEAR(Contratos[[#This Row],[FECHA DESEMBOLSO]]),MONTH(Contratos[[#This Row],[FECHA DESEMBOLSO]])+3,DAY(Contratos[[#This Row],[FECHA DESEMBOLSO]]))</f>
        <v>45032</v>
      </c>
      <c r="J3" t="str">
        <f>+_xlfn.XLOOKUP($A3,PRÉSTAMOS!$D:$D,PRÉSTAMOS!S:S)</f>
        <v>Préstamo</v>
      </c>
      <c r="K3" s="126">
        <f>+IFERROR(_xlfn.XLOOKUP(Contratos[[#This Row],[No. CONTRATO]],CajaTotal[REFERENCIA],CajaTotal[DEBITO]),0)</f>
        <v>339000</v>
      </c>
      <c r="L3" s="125" cm="1">
        <f t="array" ref="L3">+IFERROR(MAX(_xlfn._xlws.FILTER(CajaTotal[FECHA],CajaTotal[REFERENCIA]=Contratos[[#This Row],[No. CONTRATO]])),"")</f>
        <v>44944</v>
      </c>
      <c r="M3" t="str">
        <f>+IF(_xlfn.XLOOKUP($A3,PRÉSTAMOS!$D:$D,PRÉSTAMOS!V:V)=0,"",_xlfn.XLOOKUP($A3,PRÉSTAMOS!$D:$D,PRÉSTAMOS!V:V))</f>
        <v>PAGO TOTAL</v>
      </c>
      <c r="N3" s="125">
        <f>+IF(_xlfn.XLOOKUP($A3,PRÉSTAMOS!$D:$D,PRÉSTAMOS!W:W)=0,"",_xlfn.XLOOKUP($A3,PRÉSTAMOS!$D:$D,PRÉSTAMOS!W:W))</f>
        <v>44944</v>
      </c>
      <c r="O3" s="125" t="str">
        <f>+IF(_xlfn.XLOOKUP($A3,PRÉSTAMOS!$D:$D,PRÉSTAMOS!X:X)=0,"",_xlfn.XLOOKUP($A3,PRÉSTAMOS!$D:$D,PRÉSTAMOS!X:X))</f>
        <v/>
      </c>
      <c r="Q3" s="125"/>
      <c r="R3" t="str">
        <f ca="1">+IF(Contratos[[#This Row],[JURIDICO]]=1,"PROCESO JURIDICO",IF(I3&lt;TODAY(),"VENCIDO","ACTIVO"))</f>
        <v>VENCIDO</v>
      </c>
    </row>
    <row r="4" spans="1:20" hidden="1" x14ac:dyDescent="0.25">
      <c r="A4">
        <v>421</v>
      </c>
      <c r="B4">
        <f>+_xlfn.XLOOKUP($A4,PRÉSTAMOS!$D:$D,PRÉSTAMOS!B:B)</f>
        <v>18514280</v>
      </c>
      <c r="C4" s="126">
        <f>+_xlfn.XLOOKUP($A4,PRÉSTAMOS!$D:$D,PRÉSTAMOS!K:K)</f>
        <v>1500000</v>
      </c>
      <c r="D4" s="126" cm="1">
        <f t="array" ref="D4">+ValorProyectado_Aritmetico(C4,0.13,3)</f>
        <v>3585000</v>
      </c>
      <c r="E4" t="str" cm="1">
        <f t="array" ref="E4">+CONVERTIRNUM(D4)</f>
        <v>Tres Millones Quinientos Ochenta y Cinco Mil Pesos</v>
      </c>
      <c r="F4" s="126" cm="1">
        <f t="array" ref="F4">+Honorarios(D4,0.13)</f>
        <v>466050</v>
      </c>
      <c r="G4" s="127">
        <f>+_xlfn.XLOOKUP($A4,PRÉSTAMOS!$D:$D,PRÉSTAMOS!P:P)/100</f>
        <v>0.13</v>
      </c>
      <c r="H4" s="132">
        <v>44942</v>
      </c>
      <c r="I4" s="132">
        <f>+DATE(YEAR(Contratos[[#This Row],[FECHA DESEMBOLSO]]),MONTH(Contratos[[#This Row],[FECHA DESEMBOLSO]])+3,DAY(Contratos[[#This Row],[FECHA DESEMBOLSO]]))</f>
        <v>45032</v>
      </c>
      <c r="J4" t="str">
        <f>+_xlfn.XLOOKUP($A4,PRÉSTAMOS!$D:$D,PRÉSTAMOS!S:S)</f>
        <v>Préstamo</v>
      </c>
      <c r="K4" s="126">
        <f>+IFERROR(_xlfn.XLOOKUP(Contratos[[#This Row],[No. CONTRATO]],CajaTotal[REFERENCIA],CajaTotal[DEBITO]),0)</f>
        <v>0</v>
      </c>
      <c r="L4" s="125" t="str" cm="1">
        <f t="array" ref="L4">+IFERROR(MAX(_xlfn._xlws.FILTER(CajaTotal[FECHA],CajaTotal[REFERENCIA]=Contratos[[#This Row],[No. CONTRATO]])),"")</f>
        <v/>
      </c>
      <c r="M4" t="str">
        <f>+IF(_xlfn.XLOOKUP($A4,PRÉSTAMOS!$D:$D,PRÉSTAMOS!V:V)=0,"",_xlfn.XLOOKUP($A4,PRÉSTAMOS!$D:$D,PRÉSTAMOS!V:V))</f>
        <v>PAGO TOTAL</v>
      </c>
      <c r="N4" s="125">
        <f>+IF(_xlfn.XLOOKUP($A4,PRÉSTAMOS!$D:$D,PRÉSTAMOS!W:W)=0,"",_xlfn.XLOOKUP($A4,PRÉSTAMOS!$D:$D,PRÉSTAMOS!W:W))</f>
        <v>44973</v>
      </c>
      <c r="O4" s="125" t="str">
        <f>+IF(_xlfn.XLOOKUP($A4,PRÉSTAMOS!$D:$D,PRÉSTAMOS!X:X)=0,"",_xlfn.XLOOKUP($A4,PRÉSTAMOS!$D:$D,PRÉSTAMOS!X:X))</f>
        <v/>
      </c>
      <c r="R4" t="str">
        <f ca="1">+IF(Contratos[[#This Row],[JURIDICO]]=1,"PROCESO JURIDICO",IF(I4&lt;TODAY(),"VENCIDO","ACTIVO"))</f>
        <v>VENCIDO</v>
      </c>
      <c r="T4" t="s">
        <v>988</v>
      </c>
    </row>
    <row r="5" spans="1:20" hidden="1" x14ac:dyDescent="0.25">
      <c r="A5">
        <v>422</v>
      </c>
      <c r="B5">
        <f>+_xlfn.XLOOKUP($A5,PRÉSTAMOS!$D:$D,PRÉSTAMOS!B:B)</f>
        <v>94229441</v>
      </c>
      <c r="C5" s="126">
        <f>+_xlfn.XLOOKUP($A5,PRÉSTAMOS!$D:$D,PRÉSTAMOS!K:K)</f>
        <v>2000000</v>
      </c>
      <c r="D5" s="126" cm="1">
        <f t="array" ref="D5">+ValorProyectado_Aritmetico(C5,0.13,3)</f>
        <v>4280000</v>
      </c>
      <c r="E5" t="str" cm="1">
        <f t="array" ref="E5">+CONVERTIRNUM(D5)</f>
        <v>Cuatro Millones Doscientos Ochenta Mil Pesos</v>
      </c>
      <c r="F5" s="126" cm="1">
        <f t="array" ref="F5">+Honorarios(D5,0.13)</f>
        <v>556400</v>
      </c>
      <c r="G5" s="127">
        <f>+_xlfn.XLOOKUP($A5,PRÉSTAMOS!$D:$D,PRÉSTAMOS!P:P)/100</f>
        <v>0.13</v>
      </c>
      <c r="H5" s="132">
        <v>44944</v>
      </c>
      <c r="I5" s="132">
        <f>+DATE(YEAR(Contratos[[#This Row],[FECHA DESEMBOLSO]]),MONTH(Contratos[[#This Row],[FECHA DESEMBOLSO]])+3,DAY(Contratos[[#This Row],[FECHA DESEMBOLSO]]))</f>
        <v>45034</v>
      </c>
      <c r="J5" t="str">
        <f>+_xlfn.XLOOKUP($A5,PRÉSTAMOS!$D:$D,PRÉSTAMOS!S:S)</f>
        <v>Adelanto</v>
      </c>
      <c r="K5" s="126">
        <f>+IFERROR(_xlfn.XLOOKUP(Contratos[[#This Row],[No. CONTRATO]],CajaTotal[REFERENCIA],CajaTotal[DEBITO]),0)</f>
        <v>2260000</v>
      </c>
      <c r="L5" s="125" cm="1">
        <f t="array" ref="L5">+IFERROR(MAX(_xlfn._xlws.FILTER(CajaTotal[FECHA],CajaTotal[REFERENCIA]=Contratos[[#This Row],[No. CONTRATO]])),"")</f>
        <v>44977</v>
      </c>
      <c r="M5" t="str">
        <f>+IF(_xlfn.XLOOKUP($A5,PRÉSTAMOS!$D:$D,PRÉSTAMOS!V:V)=0,"",_xlfn.XLOOKUP($A5,PRÉSTAMOS!$D:$D,PRÉSTAMOS!V:V))</f>
        <v>PAGO TOTAL</v>
      </c>
      <c r="N5" s="125">
        <f>+IF(_xlfn.XLOOKUP($A5,PRÉSTAMOS!$D:$D,PRÉSTAMOS!W:W)=0,"",_xlfn.XLOOKUP($A5,PRÉSTAMOS!$D:$D,PRÉSTAMOS!W:W))</f>
        <v>44977</v>
      </c>
      <c r="O5" s="125" t="str">
        <f>+IF(_xlfn.XLOOKUP($A5,PRÉSTAMOS!$D:$D,PRÉSTAMOS!X:X)=0,"",_xlfn.XLOOKUP($A5,PRÉSTAMOS!$D:$D,PRÉSTAMOS!X:X))</f>
        <v/>
      </c>
      <c r="R5" t="str">
        <f ca="1">+IF(Contratos[[#This Row],[JURIDICO]]=1,"PROCESO JURIDICO",IF(I5&lt;TODAY(),"VENCIDO","ACTIVO"))</f>
        <v>VENCIDO</v>
      </c>
      <c r="T5" t="s">
        <v>989</v>
      </c>
    </row>
    <row r="6" spans="1:20" hidden="1" x14ac:dyDescent="0.25">
      <c r="A6" t="s">
        <v>10</v>
      </c>
      <c r="B6">
        <f>+_xlfn.XLOOKUP($A6,PRÉSTAMOS!$D:$D,PRÉSTAMOS!B:B)</f>
        <v>4477806</v>
      </c>
      <c r="C6" s="126">
        <f>+_xlfn.XLOOKUP($A6,PRÉSTAMOS!$D:$D,PRÉSTAMOS!K:K)</f>
        <v>400000</v>
      </c>
      <c r="D6" s="126" cm="1">
        <f t="array" ref="D6">+ValorProyectado_Aritmetico(C6,0.13,3)</f>
        <v>2056000</v>
      </c>
      <c r="E6" t="str" cm="1">
        <f t="array" ref="E6">+CONVERTIRNUM(D6)</f>
        <v>Dos Millones Cincuenta y Seis Mil Pesos</v>
      </c>
      <c r="F6" s="126" cm="1">
        <f t="array" ref="F6">+Honorarios(D6,0.13)</f>
        <v>267280</v>
      </c>
      <c r="G6" s="127">
        <f>+_xlfn.XLOOKUP($A6,PRÉSTAMOS!$D:$D,PRÉSTAMOS!P:P)/100</f>
        <v>0.13</v>
      </c>
      <c r="H6" s="132">
        <v>44944</v>
      </c>
      <c r="I6" s="132">
        <f>+DATE(YEAR(Contratos[[#This Row],[FECHA DESEMBOLSO]]),MONTH(Contratos[[#This Row],[FECHA DESEMBOLSO]])+3,DAY(Contratos[[#This Row],[FECHA DESEMBOLSO]]))</f>
        <v>45034</v>
      </c>
      <c r="J6" t="str">
        <f>+_xlfn.XLOOKUP($A6,PRÉSTAMOS!$D:$D,PRÉSTAMOS!S:S)</f>
        <v>Adelanto</v>
      </c>
      <c r="K6" s="126">
        <f>+IFERROR(_xlfn.XLOOKUP(Contratos[[#This Row],[No. CONTRATO]],CajaTotal[REFERENCIA],CajaTotal[DEBITO]),0)</f>
        <v>452000</v>
      </c>
      <c r="L6" s="125" cm="1">
        <f t="array" ref="L6">+IFERROR(MAX(_xlfn._xlws.FILTER(CajaTotal[FECHA],CajaTotal[REFERENCIA]=Contratos[[#This Row],[No. CONTRATO]])),"")</f>
        <v>44960</v>
      </c>
      <c r="M6" t="str">
        <f>+IF(_xlfn.XLOOKUP($A6,PRÉSTAMOS!$D:$D,PRÉSTAMOS!V:V)=0,"",_xlfn.XLOOKUP($A6,PRÉSTAMOS!$D:$D,PRÉSTAMOS!V:V))</f>
        <v>PAGO TOTAL</v>
      </c>
      <c r="N6" s="125">
        <f>+IF(_xlfn.XLOOKUP($A6,PRÉSTAMOS!$D:$D,PRÉSTAMOS!W:W)=0,"",_xlfn.XLOOKUP($A6,PRÉSTAMOS!$D:$D,PRÉSTAMOS!W:W))</f>
        <v>44960</v>
      </c>
      <c r="O6" s="125" t="str">
        <f>+IF(_xlfn.XLOOKUP($A6,PRÉSTAMOS!$D:$D,PRÉSTAMOS!X:X)=0,"",_xlfn.XLOOKUP($A6,PRÉSTAMOS!$D:$D,PRÉSTAMOS!X:X))</f>
        <v/>
      </c>
      <c r="R6" t="str">
        <f ca="1">+IF(Contratos[[#This Row],[JURIDICO]]=1,"PROCESO JURIDICO",IF(I6&lt;TODAY(),"VENCIDO","ACTIVO"))</f>
        <v>VENCIDO</v>
      </c>
      <c r="T6" t="s">
        <v>990</v>
      </c>
    </row>
    <row r="7" spans="1:20" x14ac:dyDescent="0.25">
      <c r="A7">
        <v>423</v>
      </c>
      <c r="B7">
        <f>+_xlfn.XLOOKUP($A7,PRÉSTAMOS!$D:$D,PRÉSTAMOS!B:B)</f>
        <v>16204430</v>
      </c>
      <c r="C7" s="126">
        <f>+_xlfn.XLOOKUP($A7,PRÉSTAMOS!$D:$D,PRÉSTAMOS!K:K)</f>
        <v>850000</v>
      </c>
      <c r="D7" s="126" cm="1">
        <f t="array" ref="D7">+ValorProyectado_Aritmetico(C7,0.13,3)</f>
        <v>2681500</v>
      </c>
      <c r="E7" t="str" cm="1">
        <f t="array" ref="E7">+CONVERTIRNUM(D7)</f>
        <v>Dos Millones Seiscientos Ochenta y Un Mil Quinientos Pesos</v>
      </c>
      <c r="F7" s="126" cm="1">
        <f t="array" ref="F7">+Honorarios(D7,0.13)</f>
        <v>348595</v>
      </c>
      <c r="G7" s="127">
        <f>+_xlfn.XLOOKUP($A7,PRÉSTAMOS!$D:$D,PRÉSTAMOS!P:P)/100</f>
        <v>0.13</v>
      </c>
      <c r="H7" s="132">
        <v>44945</v>
      </c>
      <c r="I7" s="132">
        <f>+DATE(YEAR(Contratos[[#This Row],[FECHA DESEMBOLSO]]),MONTH(Contratos[[#This Row],[FECHA DESEMBOLSO]])+3,DAY(Contratos[[#This Row],[FECHA DESEMBOLSO]]))</f>
        <v>45035</v>
      </c>
      <c r="J7" t="str">
        <f>+_xlfn.XLOOKUP($A7,PRÉSTAMOS!$D:$D,PRÉSTAMOS!S:S)</f>
        <v>Préstamo</v>
      </c>
      <c r="K7" s="126">
        <f>+IFERROR(_xlfn.XLOOKUP(Contratos[[#This Row],[No. CONTRATO]],CajaTotal[REFERENCIA],CajaTotal[DEBITO]),0)</f>
        <v>0</v>
      </c>
      <c r="L7" s="125" t="str" cm="1">
        <f t="array" ref="L7">+IFERROR(MAX(_xlfn._xlws.FILTER(CajaTotal[FECHA],CajaTotal[REFERENCIA]=Contratos[[#This Row],[No. CONTRATO]])),"")</f>
        <v/>
      </c>
      <c r="M7" t="str">
        <f>+IF(_xlfn.XLOOKUP($A7,PRÉSTAMOS!$D:$D,PRÉSTAMOS!V:V)=0,"",_xlfn.XLOOKUP($A7,PRÉSTAMOS!$D:$D,PRÉSTAMOS!V:V))</f>
        <v/>
      </c>
      <c r="N7" s="125" t="str">
        <f>+IF(_xlfn.XLOOKUP($A7,PRÉSTAMOS!$D:$D,PRÉSTAMOS!W:W)=0,"",_xlfn.XLOOKUP($A7,PRÉSTAMOS!$D:$D,PRÉSTAMOS!W:W))</f>
        <v/>
      </c>
      <c r="O7" s="125" t="str">
        <f>+IF(_xlfn.XLOOKUP($A7,PRÉSTAMOS!$D:$D,PRÉSTAMOS!X:X)=0,"",_xlfn.XLOOKUP($A7,PRÉSTAMOS!$D:$D,PRÉSTAMOS!X:X))</f>
        <v>SERGIO RAMÍREZ</v>
      </c>
      <c r="R7" t="str">
        <f ca="1">+IF(Contratos[[#This Row],[JURIDICO]]=1,"PROCESO JURIDICO",IF(I7&lt;TODAY(),"VENCIDO","ACTIVO"))</f>
        <v>VENCIDO</v>
      </c>
    </row>
    <row r="8" spans="1:20" hidden="1" x14ac:dyDescent="0.25">
      <c r="A8">
        <v>424</v>
      </c>
      <c r="B8">
        <f>+_xlfn.XLOOKUP($A8,PRÉSTAMOS!$D:$D,PRÉSTAMOS!B:B)</f>
        <v>24602460</v>
      </c>
      <c r="C8" s="126">
        <f>+_xlfn.XLOOKUP($A8,PRÉSTAMOS!$D:$D,PRÉSTAMOS!K:K)</f>
        <v>500000</v>
      </c>
      <c r="D8" s="126" cm="1">
        <f t="array" ref="D8">+ValorProyectado_Aritmetico(C8,0.13,3)</f>
        <v>2195000</v>
      </c>
      <c r="E8" t="str" cm="1">
        <f t="array" ref="E8">+CONVERTIRNUM(D8)</f>
        <v>Dos Millones Ciento Noventa y Cinco Mil Pesos</v>
      </c>
      <c r="F8" s="126" cm="1">
        <f t="array" ref="F8">+Honorarios(D8,0.13)</f>
        <v>285350</v>
      </c>
      <c r="G8" s="127">
        <f>+_xlfn.XLOOKUP($A8,PRÉSTAMOS!$D:$D,PRÉSTAMOS!P:P)/100</f>
        <v>0.13</v>
      </c>
      <c r="H8" s="132">
        <v>44946</v>
      </c>
      <c r="I8" s="132">
        <f>+DATE(YEAR(Contratos[[#This Row],[FECHA DESEMBOLSO]]),MONTH(Contratos[[#This Row],[FECHA DESEMBOLSO]])+3,DAY(Contratos[[#This Row],[FECHA DESEMBOLSO]]))</f>
        <v>45036</v>
      </c>
      <c r="J8" t="str">
        <f>+_xlfn.XLOOKUP($A8,PRÉSTAMOS!$D:$D,PRÉSTAMOS!S:S)</f>
        <v>Adelanto</v>
      </c>
      <c r="K8" s="126">
        <f>+IFERROR(_xlfn.XLOOKUP(Contratos[[#This Row],[No. CONTRATO]],CajaTotal[REFERENCIA],CajaTotal[DEBITO]),0)</f>
        <v>1916000</v>
      </c>
      <c r="L8" s="125" cm="1">
        <f t="array" ref="L8">+IFERROR(MAX(_xlfn._xlws.FILTER(CajaTotal[FECHA],CajaTotal[REFERENCIA]=Contratos[[#This Row],[No. CONTRATO]])),"")</f>
        <v>44965</v>
      </c>
      <c r="M8" t="str">
        <f>+IF(_xlfn.XLOOKUP($A8,PRÉSTAMOS!$D:$D,PRÉSTAMOS!V:V)=0,"",_xlfn.XLOOKUP($A8,PRÉSTAMOS!$D:$D,PRÉSTAMOS!V:V))</f>
        <v>PAgo total</v>
      </c>
      <c r="N8" s="125">
        <f>+IF(_xlfn.XLOOKUP($A8,PRÉSTAMOS!$D:$D,PRÉSTAMOS!W:W)=0,"",_xlfn.XLOOKUP($A8,PRÉSTAMOS!$D:$D,PRÉSTAMOS!W:W))</f>
        <v>44965</v>
      </c>
      <c r="O8" s="125" t="str">
        <f>+IF(_xlfn.XLOOKUP($A8,PRÉSTAMOS!$D:$D,PRÉSTAMOS!X:X)=0,"",_xlfn.XLOOKUP($A8,PRÉSTAMOS!$D:$D,PRÉSTAMOS!X:X))</f>
        <v/>
      </c>
      <c r="R8" t="str">
        <f ca="1">+IF(Contratos[[#This Row],[JURIDICO]]=1,"PROCESO JURIDICO",IF(I8&lt;TODAY(),"VENCIDO","ACTIVO"))</f>
        <v>VENCIDO</v>
      </c>
    </row>
    <row r="9" spans="1:20" hidden="1" x14ac:dyDescent="0.25">
      <c r="A9">
        <v>425</v>
      </c>
      <c r="B9">
        <f>+_xlfn.XLOOKUP($A9,PRÉSTAMOS!$D:$D,PRÉSTAMOS!B:B)</f>
        <v>16474512</v>
      </c>
      <c r="C9" s="126">
        <f>+_xlfn.XLOOKUP($A9,PRÉSTAMOS!$D:$D,PRÉSTAMOS!K:K)</f>
        <v>1000000</v>
      </c>
      <c r="D9" s="126" cm="1">
        <f t="array" ref="D9">+ValorProyectado_Aritmetico(C9,0.13,3)</f>
        <v>2890000</v>
      </c>
      <c r="E9" t="str" cm="1">
        <f t="array" ref="E9">+CONVERTIRNUM(D9)</f>
        <v>Dos Millones Ochocientos Noventa Mil Pesos</v>
      </c>
      <c r="F9" s="126" cm="1">
        <f t="array" ref="F9">+Honorarios(D9,0.13)</f>
        <v>375700</v>
      </c>
      <c r="G9" s="127">
        <f>+_xlfn.XLOOKUP($A9,PRÉSTAMOS!$D:$D,PRÉSTAMOS!P:P)/100</f>
        <v>0.13</v>
      </c>
      <c r="H9" s="132">
        <v>44946</v>
      </c>
      <c r="I9" s="132">
        <f>+DATE(YEAR(Contratos[[#This Row],[FECHA DESEMBOLSO]]),MONTH(Contratos[[#This Row],[FECHA DESEMBOLSO]])+3,DAY(Contratos[[#This Row],[FECHA DESEMBOLSO]]))</f>
        <v>45036</v>
      </c>
      <c r="J9" t="str">
        <f>+_xlfn.XLOOKUP($A9,PRÉSTAMOS!$D:$D,PRÉSTAMOS!S:S)</f>
        <v>Adelanto</v>
      </c>
      <c r="K9" s="126">
        <f>+IFERROR(_xlfn.XLOOKUP(Contratos[[#This Row],[No. CONTRATO]],CajaTotal[REFERENCIA],CajaTotal[DEBITO]),0)</f>
        <v>2260000</v>
      </c>
      <c r="L9" s="125" cm="1">
        <f t="array" ref="L9">+IFERROR(MAX(_xlfn._xlws.FILTER(CajaTotal[FECHA],CajaTotal[REFERENCIA]=Contratos[[#This Row],[No. CONTRATO]])),"")</f>
        <v>44957</v>
      </c>
      <c r="M9" t="str">
        <f>+IF(_xlfn.XLOOKUP($A9,PRÉSTAMOS!$D:$D,PRÉSTAMOS!V:V)=0,"",_xlfn.XLOOKUP($A9,PRÉSTAMOS!$D:$D,PRÉSTAMOS!V:V))</f>
        <v>pago total</v>
      </c>
      <c r="N9" s="125">
        <f>+IF(_xlfn.XLOOKUP($A9,PRÉSTAMOS!$D:$D,PRÉSTAMOS!W:W)=0,"",_xlfn.XLOOKUP($A9,PRÉSTAMOS!$D:$D,PRÉSTAMOS!W:W))</f>
        <v>44957</v>
      </c>
      <c r="O9" s="125" t="str">
        <f>+IF(_xlfn.XLOOKUP($A9,PRÉSTAMOS!$D:$D,PRÉSTAMOS!X:X)=0,"",_xlfn.XLOOKUP($A9,PRÉSTAMOS!$D:$D,PRÉSTAMOS!X:X))</f>
        <v/>
      </c>
      <c r="R9" t="str">
        <f ca="1">+IF(Contratos[[#This Row],[JURIDICO]]=1,"PROCESO JURIDICO",IF(I9&lt;TODAY(),"VENCIDO","ACTIVO"))</f>
        <v>VENCIDO</v>
      </c>
    </row>
    <row r="10" spans="1:20" hidden="1" x14ac:dyDescent="0.25">
      <c r="A10">
        <v>426</v>
      </c>
      <c r="B10">
        <f>+_xlfn.XLOOKUP($A10,PRÉSTAMOS!$D:$D,PRÉSTAMOS!B:B)</f>
        <v>10063257</v>
      </c>
      <c r="C10" s="126">
        <f>+_xlfn.XLOOKUP($A10,PRÉSTAMOS!$D:$D,PRÉSTAMOS!K:K)</f>
        <v>300000</v>
      </c>
      <c r="D10" s="126" cm="1">
        <f t="array" ref="D10">+ValorProyectado_Aritmetico(C10,0.13,3)</f>
        <v>1917000</v>
      </c>
      <c r="E10" t="str" cm="1">
        <f t="array" ref="E10">+CONVERTIRNUM(D10)</f>
        <v>Un Millón Novecientos Diecisiete Mil Pesos</v>
      </c>
      <c r="F10" s="126" cm="1">
        <f t="array" ref="F10">+Honorarios(D10,0.13)</f>
        <v>249210</v>
      </c>
      <c r="G10" s="127">
        <f>+_xlfn.XLOOKUP($A10,PRÉSTAMOS!$D:$D,PRÉSTAMOS!P:P)/100</f>
        <v>0.13</v>
      </c>
      <c r="H10" s="132">
        <v>44946</v>
      </c>
      <c r="I10" s="132">
        <f>+DATE(YEAR(Contratos[[#This Row],[FECHA DESEMBOLSO]]),MONTH(Contratos[[#This Row],[FECHA DESEMBOLSO]])+3,DAY(Contratos[[#This Row],[FECHA DESEMBOLSO]]))</f>
        <v>45036</v>
      </c>
      <c r="J10" t="str">
        <f>+_xlfn.XLOOKUP($A10,PRÉSTAMOS!$D:$D,PRÉSTAMOS!S:S)</f>
        <v>Adelanto</v>
      </c>
      <c r="K10" s="126">
        <f>+IFERROR(_xlfn.XLOOKUP(Contratos[[#This Row],[No. CONTRATO]],CajaTotal[REFERENCIA],CajaTotal[DEBITO]),0)</f>
        <v>0</v>
      </c>
      <c r="L10" s="125" t="str" cm="1">
        <f t="array" ref="L10">+IFERROR(MAX(_xlfn._xlws.FILTER(CajaTotal[FECHA],CajaTotal[REFERENCIA]=Contratos[[#This Row],[No. CONTRATO]])),"")</f>
        <v/>
      </c>
      <c r="M10" t="str">
        <f>+IF(_xlfn.XLOOKUP($A10,PRÉSTAMOS!$D:$D,PRÉSTAMOS!V:V)=0,"",_xlfn.XLOOKUP($A10,PRÉSTAMOS!$D:$D,PRÉSTAMOS!V:V))</f>
        <v>PAGO TOTAL</v>
      </c>
      <c r="N10" s="125">
        <f>+IF(_xlfn.XLOOKUP($A10,PRÉSTAMOS!$D:$D,PRÉSTAMOS!W:W)=0,"",_xlfn.XLOOKUP($A10,PRÉSTAMOS!$D:$D,PRÉSTAMOS!W:W))</f>
        <v>44988</v>
      </c>
      <c r="O10" s="125" t="str">
        <f>+IF(_xlfn.XLOOKUP($A10,PRÉSTAMOS!$D:$D,PRÉSTAMOS!X:X)=0,"",_xlfn.XLOOKUP($A10,PRÉSTAMOS!$D:$D,PRÉSTAMOS!X:X))</f>
        <v/>
      </c>
      <c r="R10" t="str">
        <f ca="1">+IF(Contratos[[#This Row],[JURIDICO]]=1,"PROCESO JURIDICO",IF(I10&lt;TODAY(),"VENCIDO","ACTIVO"))</f>
        <v>VENCIDO</v>
      </c>
    </row>
    <row r="11" spans="1:20" hidden="1" x14ac:dyDescent="0.25">
      <c r="A11">
        <v>507</v>
      </c>
      <c r="B11">
        <f>+_xlfn.XLOOKUP($A11,PRÉSTAMOS!$D:$D,PRÉSTAMOS!B:B)</f>
        <v>10109440</v>
      </c>
      <c r="C11" s="126">
        <f>+_xlfn.XLOOKUP($A11,PRÉSTAMOS!$D:$D,PRÉSTAMOS!K:K)</f>
        <v>1000000</v>
      </c>
      <c r="D11" s="126" cm="1">
        <f t="array" ref="D11">+ValorProyectado_Aritmetico(C11,0.13,3)</f>
        <v>2890000</v>
      </c>
      <c r="E11" t="str" cm="1">
        <f t="array" ref="E11">+CONVERTIRNUM(D11)</f>
        <v>Dos Millones Ochocientos Noventa Mil Pesos</v>
      </c>
      <c r="F11" s="126" cm="1">
        <f t="array" ref="F11">+Honorarios(D11,0.13)</f>
        <v>375700</v>
      </c>
      <c r="G11" s="127">
        <f>+_xlfn.XLOOKUP($A11,PRÉSTAMOS!$D:$D,PRÉSTAMOS!P:P)/100</f>
        <v>0.13</v>
      </c>
      <c r="H11" s="132">
        <v>44958</v>
      </c>
      <c r="I11" s="132">
        <f>+DATE(YEAR(Contratos[[#This Row],[FECHA DESEMBOLSO]]),MONTH(Contratos[[#This Row],[FECHA DESEMBOLSO]])+3,DAY(Contratos[[#This Row],[FECHA DESEMBOLSO]]))</f>
        <v>45047</v>
      </c>
      <c r="J11" t="str">
        <f>+_xlfn.XLOOKUP($A11,PRÉSTAMOS!$D:$D,PRÉSTAMOS!S:S)</f>
        <v>Adelanto</v>
      </c>
      <c r="K11" s="126">
        <f>+IFERROR(_xlfn.XLOOKUP(Contratos[[#This Row],[No. CONTRATO]],CajaTotal[REFERENCIA],CajaTotal[DEBITO]),0)</f>
        <v>1746500</v>
      </c>
      <c r="L11" s="125" cm="1">
        <f t="array" ref="L11">+IFERROR(MAX(_xlfn._xlws.FILTER(CajaTotal[FECHA],CajaTotal[REFERENCIA]=Contratos[[#This Row],[No. CONTRATO]])),"")</f>
        <v>44970</v>
      </c>
      <c r="M11" t="str">
        <f>+IF(_xlfn.XLOOKUP($A11,PRÉSTAMOS!$D:$D,PRÉSTAMOS!V:V)=0,"",_xlfn.XLOOKUP($A11,PRÉSTAMOS!$D:$D,PRÉSTAMOS!V:V))</f>
        <v>pago total</v>
      </c>
      <c r="N11" s="125">
        <f>+IF(_xlfn.XLOOKUP($A11,PRÉSTAMOS!$D:$D,PRÉSTAMOS!W:W)=0,"",_xlfn.XLOOKUP($A11,PRÉSTAMOS!$D:$D,PRÉSTAMOS!W:W))</f>
        <v>44970</v>
      </c>
      <c r="O11" s="125" t="str">
        <f>+IF(_xlfn.XLOOKUP($A11,PRÉSTAMOS!$D:$D,PRÉSTAMOS!X:X)=0,"",_xlfn.XLOOKUP($A11,PRÉSTAMOS!$D:$D,PRÉSTAMOS!X:X))</f>
        <v/>
      </c>
      <c r="R11" t="str">
        <f ca="1">+IF(Contratos[[#This Row],[JURIDICO]]=1,"PROCESO JURIDICO",IF(I11&lt;TODAY(),"VENCIDO","ACTIVO"))</f>
        <v>VENCIDO</v>
      </c>
    </row>
    <row r="12" spans="1:20" x14ac:dyDescent="0.25">
      <c r="A12">
        <v>508</v>
      </c>
      <c r="B12">
        <f>+_xlfn.XLOOKUP($A12,PRÉSTAMOS!$D:$D,PRÉSTAMOS!B:B)</f>
        <v>42056761</v>
      </c>
      <c r="C12" s="126">
        <f>+_xlfn.XLOOKUP($A12,PRÉSTAMOS!$D:$D,PRÉSTAMOS!K:K)</f>
        <v>2000000</v>
      </c>
      <c r="D12" s="126" cm="1">
        <f t="array" ref="D12">+ValorProyectado_Aritmetico(C12,0.13,3)</f>
        <v>4280000</v>
      </c>
      <c r="E12" t="str" cm="1">
        <f t="array" ref="E12">+CONVERTIRNUM(D12)</f>
        <v>Cuatro Millones Doscientos Ochenta Mil Pesos</v>
      </c>
      <c r="F12" s="126" cm="1">
        <f t="array" ref="F12">+Honorarios(D12,0.13)</f>
        <v>556400</v>
      </c>
      <c r="G12" s="127">
        <f>+_xlfn.XLOOKUP($A12,PRÉSTAMOS!$D:$D,PRÉSTAMOS!P:P)/100</f>
        <v>0.13</v>
      </c>
      <c r="H12" s="132">
        <v>44961</v>
      </c>
      <c r="I12" s="132">
        <f>+DATE(YEAR(Contratos[[#This Row],[FECHA DESEMBOLSO]]),MONTH(Contratos[[#This Row],[FECHA DESEMBOLSO]])+3,DAY(Contratos[[#This Row],[FECHA DESEMBOLSO]]))</f>
        <v>45050</v>
      </c>
      <c r="J12" t="str">
        <f>+_xlfn.XLOOKUP($A12,PRÉSTAMOS!$D:$D,PRÉSTAMOS!S:S)</f>
        <v>Adelanto</v>
      </c>
      <c r="K12" s="126">
        <f>+IFERROR(_xlfn.XLOOKUP(Contratos[[#This Row],[No. CONTRATO]],CajaTotal[REFERENCIA],CajaTotal[DEBITO]),0)</f>
        <v>0</v>
      </c>
      <c r="L12" s="125" t="str" cm="1">
        <f t="array" ref="L12">+IFERROR(MAX(_xlfn._xlws.FILTER(CajaTotal[FECHA],CajaTotal[REFERENCIA]=Contratos[[#This Row],[No. CONTRATO]])),"")</f>
        <v/>
      </c>
      <c r="M12" t="str">
        <f>+IF(_xlfn.XLOOKUP($A12,PRÉSTAMOS!$D:$D,PRÉSTAMOS!V:V)=0,"",_xlfn.XLOOKUP($A12,PRÉSTAMOS!$D:$D,PRÉSTAMOS!V:V))</f>
        <v/>
      </c>
      <c r="N12" s="125" t="str">
        <f>+IF(_xlfn.XLOOKUP($A12,PRÉSTAMOS!$D:$D,PRÉSTAMOS!W:W)=0,"",_xlfn.XLOOKUP($A12,PRÉSTAMOS!$D:$D,PRÉSTAMOS!W:W))</f>
        <v/>
      </c>
      <c r="O12" s="125" t="str">
        <f>+IF(_xlfn.XLOOKUP($A12,PRÉSTAMOS!$D:$D,PRÉSTAMOS!X:X)=0,"",_xlfn.XLOOKUP($A12,PRÉSTAMOS!$D:$D,PRÉSTAMOS!X:X))</f>
        <v>SERGIO RAMÍREZ</v>
      </c>
      <c r="R12" t="str">
        <f ca="1">+IF(Contratos[[#This Row],[JURIDICO]]=1,"PROCESO JURIDICO",IF(I12&lt;TODAY(),"VENCIDO","ACTIVO"))</f>
        <v>VENCIDO</v>
      </c>
    </row>
    <row r="13" spans="1:20" x14ac:dyDescent="0.25">
      <c r="A13">
        <v>429</v>
      </c>
      <c r="B13">
        <f>+_xlfn.XLOOKUP($A13,PRÉSTAMOS!$D:$D,PRÉSTAMOS!B:B)</f>
        <v>10073529</v>
      </c>
      <c r="C13" s="126">
        <f>+_xlfn.XLOOKUP($A13,PRÉSTAMOS!$D:$D,PRÉSTAMOS!K:K)</f>
        <v>2000000</v>
      </c>
      <c r="D13" s="126" cm="1">
        <f t="array" ref="D13">+ValorProyectado_Aritmetico(C13,0.13,3)</f>
        <v>4280000</v>
      </c>
      <c r="E13" t="str" cm="1">
        <f t="array" ref="E13">+CONVERTIRNUM(D13)</f>
        <v>Cuatro Millones Doscientos Ochenta Mil Pesos</v>
      </c>
      <c r="F13" s="126" cm="1">
        <f t="array" ref="F13">+Honorarios(D13,0.13)</f>
        <v>556400</v>
      </c>
      <c r="G13" s="127">
        <f>+_xlfn.XLOOKUP($A13,PRÉSTAMOS!$D:$D,PRÉSTAMOS!P:P)/100</f>
        <v>0.13</v>
      </c>
      <c r="H13" s="132">
        <v>44963</v>
      </c>
      <c r="I13" s="132">
        <f>+DATE(YEAR(Contratos[[#This Row],[FECHA DESEMBOLSO]]),MONTH(Contratos[[#This Row],[FECHA DESEMBOLSO]])+3,DAY(Contratos[[#This Row],[FECHA DESEMBOLSO]]))</f>
        <v>45052</v>
      </c>
      <c r="J13" t="str">
        <f>+_xlfn.XLOOKUP($A13,PRÉSTAMOS!$D:$D,PRÉSTAMOS!S:S)</f>
        <v>Adelanto</v>
      </c>
      <c r="K13" s="126">
        <f>+IFERROR(_xlfn.XLOOKUP(Contratos[[#This Row],[No. CONTRATO]],CajaTotal[REFERENCIA],CajaTotal[DEBITO]),0)</f>
        <v>0</v>
      </c>
      <c r="L13" s="125" cm="1">
        <f t="array" ref="L13">+IFERROR(MAX(_xlfn._xlws.FILTER(CajaTotal[FECHA],CajaTotal[REFERENCIA]=Contratos[[#This Row],[No. CONTRATO]])),"")</f>
        <v>45162</v>
      </c>
      <c r="M13" t="str">
        <f>+IF(_xlfn.XLOOKUP($A13,PRÉSTAMOS!$D:$D,PRÉSTAMOS!V:V)=0,"",_xlfn.XLOOKUP($A13,PRÉSTAMOS!$D:$D,PRÉSTAMOS!V:V))</f>
        <v/>
      </c>
      <c r="N13" s="125" t="str">
        <f>+IF(_xlfn.XLOOKUP($A13,PRÉSTAMOS!$D:$D,PRÉSTAMOS!W:W)=0,"",_xlfn.XLOOKUP($A13,PRÉSTAMOS!$D:$D,PRÉSTAMOS!W:W))</f>
        <v/>
      </c>
      <c r="O13" s="125" t="str">
        <f>+IF(_xlfn.XLOOKUP($A13,PRÉSTAMOS!$D:$D,PRÉSTAMOS!X:X)=0,"",_xlfn.XLOOKUP($A13,PRÉSTAMOS!$D:$D,PRÉSTAMOS!X:X))</f>
        <v>SERGIO RAMÍREZ</v>
      </c>
      <c r="R13" t="str">
        <f ca="1">+IF(Contratos[[#This Row],[JURIDICO]]=1,"PROCESO JURIDICO",IF(I13&lt;TODAY(),"VENCIDO","ACTIVO"))</f>
        <v>VENCIDO</v>
      </c>
    </row>
    <row r="14" spans="1:20" hidden="1" x14ac:dyDescent="0.25">
      <c r="A14" t="s">
        <v>30</v>
      </c>
      <c r="B14">
        <f>+_xlfn.XLOOKUP($A14,PRÉSTAMOS!$D:$D,PRÉSTAMOS!B:B)</f>
        <v>10220144</v>
      </c>
      <c r="C14" s="126">
        <f>+_xlfn.XLOOKUP($A14,PRÉSTAMOS!$D:$D,PRÉSTAMOS!K:K)</f>
        <v>800000</v>
      </c>
      <c r="D14" s="126" cm="1">
        <f t="array" ref="D14">+ValorProyectado_Aritmetico(C14,0.13,3)</f>
        <v>2612000</v>
      </c>
      <c r="E14" t="str" cm="1">
        <f t="array" ref="E14">+CONVERTIRNUM(D14)</f>
        <v>Dos Millones Seiscientos Doce Mil Pesos</v>
      </c>
      <c r="F14" s="126" cm="1">
        <f t="array" ref="F14">+Honorarios(D14,0.13)</f>
        <v>339560</v>
      </c>
      <c r="G14" s="127">
        <f>+_xlfn.XLOOKUP($A14,PRÉSTAMOS!$D:$D,PRÉSTAMOS!P:P)/100</f>
        <v>0.13</v>
      </c>
      <c r="H14" s="132">
        <v>44963</v>
      </c>
      <c r="I14" s="132">
        <f>+DATE(YEAR(Contratos[[#This Row],[FECHA DESEMBOLSO]]),MONTH(Contratos[[#This Row],[FECHA DESEMBOLSO]])+3,DAY(Contratos[[#This Row],[FECHA DESEMBOLSO]]))</f>
        <v>45052</v>
      </c>
      <c r="J14" t="str">
        <f>+_xlfn.XLOOKUP($A14,PRÉSTAMOS!$D:$D,PRÉSTAMOS!S:S)</f>
        <v>Adelanto</v>
      </c>
      <c r="K14" s="126">
        <f>+IFERROR(_xlfn.XLOOKUP(Contratos[[#This Row],[No. CONTRATO]],CajaTotal[REFERENCIA],CajaTotal[DEBITO]),0)</f>
        <v>1302000</v>
      </c>
      <c r="L14" s="125" cm="1">
        <f t="array" ref="L14">+IFERROR(MAX(_xlfn._xlws.FILTER(CajaTotal[FECHA],CajaTotal[REFERENCIA]=Contratos[[#This Row],[No. CONTRATO]])),"")</f>
        <v>44964</v>
      </c>
      <c r="M14" t="str">
        <f>+IF(_xlfn.XLOOKUP($A14,PRÉSTAMOS!$D:$D,PRÉSTAMOS!V:V)=0,"",_xlfn.XLOOKUP($A14,PRÉSTAMOS!$D:$D,PRÉSTAMOS!V:V))</f>
        <v>PAGO TOTAL</v>
      </c>
      <c r="N14" s="125">
        <f>+IF(_xlfn.XLOOKUP($A14,PRÉSTAMOS!$D:$D,PRÉSTAMOS!W:W)=0,"",_xlfn.XLOOKUP($A14,PRÉSTAMOS!$D:$D,PRÉSTAMOS!W:W))</f>
        <v>44964</v>
      </c>
      <c r="O14" s="125" t="str">
        <f>+IF(_xlfn.XLOOKUP($A14,PRÉSTAMOS!$D:$D,PRÉSTAMOS!X:X)=0,"",_xlfn.XLOOKUP($A14,PRÉSTAMOS!$D:$D,PRÉSTAMOS!X:X))</f>
        <v/>
      </c>
      <c r="R14" t="str">
        <f ca="1">+IF(Contratos[[#This Row],[JURIDICO]]=1,"PROCESO JURIDICO",IF(I14&lt;TODAY(),"VENCIDO","ACTIVO"))</f>
        <v>VENCIDO</v>
      </c>
    </row>
    <row r="15" spans="1:20" hidden="1" x14ac:dyDescent="0.25">
      <c r="A15">
        <v>430</v>
      </c>
      <c r="B15">
        <f>+_xlfn.XLOOKUP($A15,PRÉSTAMOS!$D:$D,PRÉSTAMOS!B:B)</f>
        <v>15896014</v>
      </c>
      <c r="C15" s="126">
        <f>+_xlfn.XLOOKUP($A15,PRÉSTAMOS!$D:$D,PRÉSTAMOS!K:K)</f>
        <v>1000000</v>
      </c>
      <c r="D15" s="126" cm="1">
        <f t="array" ref="D15">+ValorProyectado_Aritmetico(C15,0.13,3)</f>
        <v>2890000</v>
      </c>
      <c r="E15" t="str" cm="1">
        <f t="array" ref="E15">+CONVERTIRNUM(D15)</f>
        <v>Dos Millones Ochocientos Noventa Mil Pesos</v>
      </c>
      <c r="F15" s="126" cm="1">
        <f t="array" ref="F15">+Honorarios(D15,0.13)</f>
        <v>375700</v>
      </c>
      <c r="G15" s="127">
        <f>+_xlfn.XLOOKUP($A15,PRÉSTAMOS!$D:$D,PRÉSTAMOS!P:P)/100</f>
        <v>0.13</v>
      </c>
      <c r="H15" s="132">
        <v>44964</v>
      </c>
      <c r="I15" s="132">
        <f>+DATE(YEAR(Contratos[[#This Row],[FECHA DESEMBOLSO]]),MONTH(Contratos[[#This Row],[FECHA DESEMBOLSO]])+3,DAY(Contratos[[#This Row],[FECHA DESEMBOLSO]]))</f>
        <v>45053</v>
      </c>
      <c r="J15" t="str">
        <f>+_xlfn.XLOOKUP($A15,PRÉSTAMOS!$D:$D,PRÉSTAMOS!S:S)</f>
        <v>Adelanto</v>
      </c>
      <c r="K15" s="126">
        <f>+IFERROR(_xlfn.XLOOKUP(Contratos[[#This Row],[No. CONTRATO]],CajaTotal[REFERENCIA],CajaTotal[DEBITO]),0)</f>
        <v>0</v>
      </c>
      <c r="L15" s="125" t="str" cm="1">
        <f t="array" ref="L15">+IFERROR(MAX(_xlfn._xlws.FILTER(CajaTotal[FECHA],CajaTotal[REFERENCIA]=Contratos[[#This Row],[No. CONTRATO]])),"")</f>
        <v/>
      </c>
      <c r="M15" t="str">
        <f>+IF(_xlfn.XLOOKUP($A15,PRÉSTAMOS!$D:$D,PRÉSTAMOS!V:V)=0,"",_xlfn.XLOOKUP($A15,PRÉSTAMOS!$D:$D,PRÉSTAMOS!V:V))</f>
        <v>PAGO TOTAL</v>
      </c>
      <c r="N15" s="125">
        <f>+IF(_xlfn.XLOOKUP($A15,PRÉSTAMOS!$D:$D,PRÉSTAMOS!W:W)=0,"",_xlfn.XLOOKUP($A15,PRÉSTAMOS!$D:$D,PRÉSTAMOS!W:W))</f>
        <v>44974</v>
      </c>
      <c r="O15" s="125" t="str">
        <f>+IF(_xlfn.XLOOKUP($A15,PRÉSTAMOS!$D:$D,PRÉSTAMOS!X:X)=0,"",_xlfn.XLOOKUP($A15,PRÉSTAMOS!$D:$D,PRÉSTAMOS!X:X))</f>
        <v/>
      </c>
      <c r="R15" t="str">
        <f ca="1">+IF(Contratos[[#This Row],[JURIDICO]]=1,"PROCESO JURIDICO",IF(I15&lt;TODAY(),"VENCIDO","ACTIVO"))</f>
        <v>VENCIDO</v>
      </c>
    </row>
    <row r="16" spans="1:20" hidden="1" x14ac:dyDescent="0.25">
      <c r="A16">
        <v>431</v>
      </c>
      <c r="B16">
        <f>+_xlfn.XLOOKUP($A16,PRÉSTAMOS!$D:$D,PRÉSTAMOS!B:B)</f>
        <v>10060779</v>
      </c>
      <c r="C16" s="126">
        <f>+_xlfn.XLOOKUP($A16,PRÉSTAMOS!$D:$D,PRÉSTAMOS!K:K)</f>
        <v>200000</v>
      </c>
      <c r="D16" s="126" cm="1">
        <f t="array" ref="D16">+ValorProyectado_Aritmetico(C16,0.13,3)</f>
        <v>1778000</v>
      </c>
      <c r="E16" t="str" cm="1">
        <f t="array" ref="E16">+CONVERTIRNUM(D16)</f>
        <v>Un Millón Setecientos Setenta y Ocho Mil Pesos</v>
      </c>
      <c r="F16" s="126" cm="1">
        <f t="array" ref="F16">+Honorarios(D16,0.13)</f>
        <v>231140</v>
      </c>
      <c r="G16" s="127">
        <f>+_xlfn.XLOOKUP($A16,PRÉSTAMOS!$D:$D,PRÉSTAMOS!P:P)/100</f>
        <v>0.13</v>
      </c>
      <c r="H16" s="132">
        <v>44964</v>
      </c>
      <c r="I16" s="132">
        <f>+DATE(YEAR(Contratos[[#This Row],[FECHA DESEMBOLSO]]),MONTH(Contratos[[#This Row],[FECHA DESEMBOLSO]])+3,DAY(Contratos[[#This Row],[FECHA DESEMBOLSO]]))</f>
        <v>45053</v>
      </c>
      <c r="J16" t="str">
        <f>+_xlfn.XLOOKUP($A16,PRÉSTAMOS!$D:$D,PRÉSTAMOS!S:S)</f>
        <v>Adelanto</v>
      </c>
      <c r="K16" s="126">
        <f>+IFERROR(_xlfn.XLOOKUP(Contratos[[#This Row],[No. CONTRATO]],CajaTotal[REFERENCIA],CajaTotal[DEBITO]),0)</f>
        <v>0</v>
      </c>
      <c r="L16" s="125" t="str" cm="1">
        <f t="array" ref="L16">+IFERROR(MAX(_xlfn._xlws.FILTER(CajaTotal[FECHA],CajaTotal[REFERENCIA]=Contratos[[#This Row],[No. CONTRATO]])),"")</f>
        <v/>
      </c>
      <c r="M16" t="str">
        <f>+IF(_xlfn.XLOOKUP($A16,PRÉSTAMOS!$D:$D,PRÉSTAMOS!V:V)=0,"",_xlfn.XLOOKUP($A16,PRÉSTAMOS!$D:$D,PRÉSTAMOS!V:V))</f>
        <v>Pago Total</v>
      </c>
      <c r="N16" s="125">
        <f>+IF(_xlfn.XLOOKUP($A16,PRÉSTAMOS!$D:$D,PRÉSTAMOS!W:W)=0,"",_xlfn.XLOOKUP($A16,PRÉSTAMOS!$D:$D,PRÉSTAMOS!W:W))</f>
        <v>44973</v>
      </c>
      <c r="O16" s="125" t="str">
        <f>+IF(_xlfn.XLOOKUP($A16,PRÉSTAMOS!$D:$D,PRÉSTAMOS!X:X)=0,"",_xlfn.XLOOKUP($A16,PRÉSTAMOS!$D:$D,PRÉSTAMOS!X:X))</f>
        <v/>
      </c>
      <c r="R16" t="str">
        <f ca="1">+IF(Contratos[[#This Row],[JURIDICO]]=1,"PROCESO JURIDICO",IF(I16&lt;TODAY(),"VENCIDO","ACTIVO"))</f>
        <v>VENCIDO</v>
      </c>
    </row>
    <row r="17" spans="1:18" hidden="1" x14ac:dyDescent="0.25">
      <c r="A17">
        <v>432</v>
      </c>
      <c r="B17">
        <f>+_xlfn.XLOOKUP($A17,PRÉSTAMOS!$D:$D,PRÉSTAMOS!B:B)</f>
        <v>10094542</v>
      </c>
      <c r="C17" s="126">
        <f>+_xlfn.XLOOKUP($A17,PRÉSTAMOS!$D:$D,PRÉSTAMOS!K:K)</f>
        <v>700000</v>
      </c>
      <c r="D17" s="126" cm="1">
        <f t="array" ref="D17">+ValorProyectado_Aritmetico(C17,0.13,3)</f>
        <v>2473000</v>
      </c>
      <c r="E17" t="str" cm="1">
        <f t="array" ref="E17">+CONVERTIRNUM(D17)</f>
        <v>Dos Millones Cuatrocientos Setenta y Tres Mil Pesos</v>
      </c>
      <c r="F17" s="126" cm="1">
        <f t="array" ref="F17">+Honorarios(D17,0.13)</f>
        <v>321490</v>
      </c>
      <c r="G17" s="127">
        <f>+_xlfn.XLOOKUP($A17,PRÉSTAMOS!$D:$D,PRÉSTAMOS!P:P)/100</f>
        <v>0.13</v>
      </c>
      <c r="H17" s="132">
        <v>44965</v>
      </c>
      <c r="I17" s="132">
        <f>+DATE(YEAR(Contratos[[#This Row],[FECHA DESEMBOLSO]]),MONTH(Contratos[[#This Row],[FECHA DESEMBOLSO]])+3,DAY(Contratos[[#This Row],[FECHA DESEMBOLSO]]))</f>
        <v>45054</v>
      </c>
      <c r="J17" t="str">
        <f>+_xlfn.XLOOKUP($A17,PRÉSTAMOS!$D:$D,PRÉSTAMOS!S:S)</f>
        <v>Adelanto</v>
      </c>
      <c r="K17" s="126">
        <f>+IFERROR(_xlfn.XLOOKUP(Contratos[[#This Row],[No. CONTRATO]],CajaTotal[REFERENCIA],CajaTotal[DEBITO]),0)</f>
        <v>0</v>
      </c>
      <c r="L17" s="125" t="str" cm="1">
        <f t="array" ref="L17">+IFERROR(MAX(_xlfn._xlws.FILTER(CajaTotal[FECHA],CajaTotal[REFERENCIA]=Contratos[[#This Row],[No. CONTRATO]])),"")</f>
        <v/>
      </c>
      <c r="M17" t="str">
        <f>+IF(_xlfn.XLOOKUP($A17,PRÉSTAMOS!$D:$D,PRÉSTAMOS!V:V)=0,"",_xlfn.XLOOKUP($A17,PRÉSTAMOS!$D:$D,PRÉSTAMOS!V:V))</f>
        <v>Pago Total</v>
      </c>
      <c r="N17" s="125">
        <f>+IF(_xlfn.XLOOKUP($A17,PRÉSTAMOS!$D:$D,PRÉSTAMOS!W:W)=0,"",_xlfn.XLOOKUP($A17,PRÉSTAMOS!$D:$D,PRÉSTAMOS!W:W))</f>
        <v>44973</v>
      </c>
      <c r="O17" s="125" t="str">
        <f>+IF(_xlfn.XLOOKUP($A17,PRÉSTAMOS!$D:$D,PRÉSTAMOS!X:X)=0,"",_xlfn.XLOOKUP($A17,PRÉSTAMOS!$D:$D,PRÉSTAMOS!X:X))</f>
        <v/>
      </c>
      <c r="R17" t="str">
        <f ca="1">+IF(Contratos[[#This Row],[JURIDICO]]=1,"PROCESO JURIDICO",IF(I17&lt;TODAY(),"VENCIDO","ACTIVO"))</f>
        <v>VENCIDO</v>
      </c>
    </row>
    <row r="18" spans="1:18" hidden="1" x14ac:dyDescent="0.25">
      <c r="A18">
        <v>433</v>
      </c>
      <c r="B18">
        <f>+_xlfn.XLOOKUP($A18,PRÉSTAMOS!$D:$D,PRÉSTAMOS!B:B)</f>
        <v>18507024</v>
      </c>
      <c r="C18" s="126">
        <f>+_xlfn.XLOOKUP($A18,PRÉSTAMOS!$D:$D,PRÉSTAMOS!K:K)</f>
        <v>5000000</v>
      </c>
      <c r="D18" s="126" cm="1">
        <f t="array" ref="D18">+ValorProyectado_Aritmetico(C18,0.13,3)</f>
        <v>8450000</v>
      </c>
      <c r="E18" t="str" cm="1">
        <f t="array" ref="E18">+CONVERTIRNUM(D18)</f>
        <v>Ocho Millones Cuatrocientos Cincuenta Mil Pesos</v>
      </c>
      <c r="F18" s="126" cm="1">
        <f t="array" ref="F18">+Honorarios(D18,0.13)</f>
        <v>1098500</v>
      </c>
      <c r="G18" s="127">
        <f>+_xlfn.XLOOKUP($A18,PRÉSTAMOS!$D:$D,PRÉSTAMOS!P:P)/100</f>
        <v>0.13</v>
      </c>
      <c r="H18" s="132">
        <v>44970</v>
      </c>
      <c r="I18" s="132">
        <f>+DATE(YEAR(Contratos[[#This Row],[FECHA DESEMBOLSO]]),MONTH(Contratos[[#This Row],[FECHA DESEMBOLSO]])+3,DAY(Contratos[[#This Row],[FECHA DESEMBOLSO]]))</f>
        <v>45059</v>
      </c>
      <c r="J18" t="str">
        <f>+_xlfn.XLOOKUP($A18,PRÉSTAMOS!$D:$D,PRÉSTAMOS!S:S)</f>
        <v>Adelanto</v>
      </c>
      <c r="K18" s="126">
        <f>+IFERROR(_xlfn.XLOOKUP(Contratos[[#This Row],[No. CONTRATO]],CajaTotal[REFERENCIA],CajaTotal[DEBITO]),0)</f>
        <v>0</v>
      </c>
      <c r="L18" s="125" t="str" cm="1">
        <f t="array" ref="L18">+IFERROR(MAX(_xlfn._xlws.FILTER(CajaTotal[FECHA],CajaTotal[REFERENCIA]=Contratos[[#This Row],[No. CONTRATO]])),"")</f>
        <v/>
      </c>
      <c r="M18" t="str">
        <f>+IF(_xlfn.XLOOKUP($A18,PRÉSTAMOS!$D:$D,PRÉSTAMOS!V:V)=0,"",_xlfn.XLOOKUP($A18,PRÉSTAMOS!$D:$D,PRÉSTAMOS!V:V))</f>
        <v>PAGO TOTAL</v>
      </c>
      <c r="N18" s="125">
        <f>+IF(_xlfn.XLOOKUP($A18,PRÉSTAMOS!$D:$D,PRÉSTAMOS!W:W)=0,"",_xlfn.XLOOKUP($A18,PRÉSTAMOS!$D:$D,PRÉSTAMOS!W:W))</f>
        <v>44987</v>
      </c>
      <c r="O18" s="125" t="str">
        <f>+IF(_xlfn.XLOOKUP($A18,PRÉSTAMOS!$D:$D,PRÉSTAMOS!X:X)=0,"",_xlfn.XLOOKUP($A18,PRÉSTAMOS!$D:$D,PRÉSTAMOS!X:X))</f>
        <v/>
      </c>
      <c r="R18" t="str">
        <f ca="1">+IF(Contratos[[#This Row],[JURIDICO]]=1,"PROCESO JURIDICO",IF(I18&lt;TODAY(),"VENCIDO","ACTIVO"))</f>
        <v>VENCIDO</v>
      </c>
    </row>
    <row r="19" spans="1:18" hidden="1" x14ac:dyDescent="0.25">
      <c r="A19">
        <v>434</v>
      </c>
      <c r="B19">
        <f>+_xlfn.XLOOKUP($A19,PRÉSTAMOS!$D:$D,PRÉSTAMOS!B:B)</f>
        <v>28546398</v>
      </c>
      <c r="C19" s="126">
        <f>+_xlfn.XLOOKUP($A19,PRÉSTAMOS!$D:$D,PRÉSTAMOS!K:K)</f>
        <v>1000000</v>
      </c>
      <c r="D19" s="126" cm="1">
        <f t="array" ref="D19">+ValorProyectado_Aritmetico(C19,0.13,3)</f>
        <v>2890000</v>
      </c>
      <c r="E19" t="str" cm="1">
        <f t="array" ref="E19">+CONVERTIRNUM(D19)</f>
        <v>Dos Millones Ochocientos Noventa Mil Pesos</v>
      </c>
      <c r="F19" s="126" cm="1">
        <f t="array" ref="F19">+Honorarios(D19,0.13)</f>
        <v>375700</v>
      </c>
      <c r="G19" s="127">
        <f>+_xlfn.XLOOKUP($A19,PRÉSTAMOS!$D:$D,PRÉSTAMOS!P:P)/100</f>
        <v>0.13</v>
      </c>
      <c r="H19" s="132">
        <v>44972</v>
      </c>
      <c r="I19" s="132">
        <f>+DATE(YEAR(Contratos[[#This Row],[FECHA DESEMBOLSO]]),MONTH(Contratos[[#This Row],[FECHA DESEMBOLSO]])+3,DAY(Contratos[[#This Row],[FECHA DESEMBOLSO]]))</f>
        <v>45061</v>
      </c>
      <c r="J19" t="str">
        <f>+_xlfn.XLOOKUP($A19,PRÉSTAMOS!$D:$D,PRÉSTAMOS!S:S)</f>
        <v>Adelanto</v>
      </c>
      <c r="K19" s="126">
        <f>+IFERROR(_xlfn.XLOOKUP(Contratos[[#This Row],[No. CONTRATO]],CajaTotal[REFERENCIA],CajaTotal[DEBITO]),0)</f>
        <v>0</v>
      </c>
      <c r="L19" s="125" t="str" cm="1">
        <f t="array" ref="L19">+IFERROR(MAX(_xlfn._xlws.FILTER(CajaTotal[FECHA],CajaTotal[REFERENCIA]=Contratos[[#This Row],[No. CONTRATO]])),"")</f>
        <v/>
      </c>
      <c r="M19" t="str">
        <f>+IF(_xlfn.XLOOKUP($A19,PRÉSTAMOS!$D:$D,PRÉSTAMOS!V:V)=0,"",_xlfn.XLOOKUP($A19,PRÉSTAMOS!$D:$D,PRÉSTAMOS!V:V))</f>
        <v>PAGO TOTAL</v>
      </c>
      <c r="N19" s="125">
        <f>+IF(_xlfn.XLOOKUP($A19,PRÉSTAMOS!$D:$D,PRÉSTAMOS!W:W)=0,"",_xlfn.XLOOKUP($A19,PRÉSTAMOS!$D:$D,PRÉSTAMOS!W:W))</f>
        <v>44981</v>
      </c>
      <c r="O19" s="125" t="str">
        <f>+IF(_xlfn.XLOOKUP($A19,PRÉSTAMOS!$D:$D,PRÉSTAMOS!X:X)=0,"",_xlfn.XLOOKUP($A19,PRÉSTAMOS!$D:$D,PRÉSTAMOS!X:X))</f>
        <v/>
      </c>
      <c r="R19" t="str">
        <f ca="1">+IF(Contratos[[#This Row],[JURIDICO]]=1,"PROCESO JURIDICO",IF(I19&lt;TODAY(),"VENCIDO","ACTIVO"))</f>
        <v>VENCIDO</v>
      </c>
    </row>
    <row r="20" spans="1:18" hidden="1" x14ac:dyDescent="0.25">
      <c r="A20">
        <v>435</v>
      </c>
      <c r="B20">
        <f>+_xlfn.XLOOKUP($A20,PRÉSTAMOS!$D:$D,PRÉSTAMOS!B:B)</f>
        <v>6555890</v>
      </c>
      <c r="C20" s="126">
        <f>+_xlfn.XLOOKUP($A20,PRÉSTAMOS!$D:$D,PRÉSTAMOS!K:K)</f>
        <v>500000</v>
      </c>
      <c r="D20" s="126" cm="1">
        <f t="array" ref="D20">+ValorProyectado_Aritmetico(C20,0.13,3)</f>
        <v>2195000</v>
      </c>
      <c r="E20" t="str" cm="1">
        <f t="array" ref="E20">+CONVERTIRNUM(D20)</f>
        <v>Dos Millones Ciento Noventa y Cinco Mil Pesos</v>
      </c>
      <c r="F20" s="126" cm="1">
        <f t="array" ref="F20">+Honorarios(D20,0.13)</f>
        <v>285350</v>
      </c>
      <c r="G20" s="127">
        <f>+_xlfn.XLOOKUP($A20,PRÉSTAMOS!$D:$D,PRÉSTAMOS!P:P)/100</f>
        <v>0.13</v>
      </c>
      <c r="H20" s="132">
        <v>44974</v>
      </c>
      <c r="I20" s="132">
        <f>+DATE(YEAR(Contratos[[#This Row],[FECHA DESEMBOLSO]]),MONTH(Contratos[[#This Row],[FECHA DESEMBOLSO]])+3,DAY(Contratos[[#This Row],[FECHA DESEMBOLSO]]))</f>
        <v>45063</v>
      </c>
      <c r="J20" t="str">
        <f>+_xlfn.XLOOKUP($A20,PRÉSTAMOS!$D:$D,PRÉSTAMOS!S:S)</f>
        <v>Adelanto</v>
      </c>
      <c r="K20" s="126">
        <f>+IFERROR(_xlfn.XLOOKUP(Contratos[[#This Row],[No. CONTRATO]],CajaTotal[REFERENCIA],CajaTotal[DEBITO]),0)</f>
        <v>0</v>
      </c>
      <c r="L20" s="125" t="str" cm="1">
        <f t="array" ref="L20">+IFERROR(MAX(_xlfn._xlws.FILTER(CajaTotal[FECHA],CajaTotal[REFERENCIA]=Contratos[[#This Row],[No. CONTRATO]])),"")</f>
        <v/>
      </c>
      <c r="M20" t="str">
        <f>+IF(_xlfn.XLOOKUP($A20,PRÉSTAMOS!$D:$D,PRÉSTAMOS!V:V)=0,"",_xlfn.XLOOKUP($A20,PRÉSTAMOS!$D:$D,PRÉSTAMOS!V:V))</f>
        <v>PAGO TOTAL</v>
      </c>
      <c r="N20" s="125">
        <f>+IF(_xlfn.XLOOKUP($A20,PRÉSTAMOS!$D:$D,PRÉSTAMOS!W:W)=0,"",_xlfn.XLOOKUP($A20,PRÉSTAMOS!$D:$D,PRÉSTAMOS!W:W))</f>
        <v>44985</v>
      </c>
      <c r="O20" s="125" t="str">
        <f>+IF(_xlfn.XLOOKUP($A20,PRÉSTAMOS!$D:$D,PRÉSTAMOS!X:X)=0,"",_xlfn.XLOOKUP($A20,PRÉSTAMOS!$D:$D,PRÉSTAMOS!X:X))</f>
        <v/>
      </c>
      <c r="R20" t="str">
        <f ca="1">+IF(Contratos[[#This Row],[JURIDICO]]=1,"PROCESO JURIDICO",IF(I20&lt;TODAY(),"VENCIDO","ACTIVO"))</f>
        <v>VENCIDO</v>
      </c>
    </row>
    <row r="21" spans="1:18" hidden="1" x14ac:dyDescent="0.25">
      <c r="A21">
        <v>436</v>
      </c>
      <c r="B21">
        <f>+_xlfn.XLOOKUP($A21,PRÉSTAMOS!$D:$D,PRÉSTAMOS!B:B)</f>
        <v>31419074</v>
      </c>
      <c r="C21" s="126">
        <f>+_xlfn.XLOOKUP($A21,PRÉSTAMOS!$D:$D,PRÉSTAMOS!K:K)</f>
        <v>1000000</v>
      </c>
      <c r="D21" s="126" cm="1">
        <f t="array" ref="D21">+ValorProyectado_Aritmetico(C21,0.13,3)</f>
        <v>2890000</v>
      </c>
      <c r="E21" t="str" cm="1">
        <f t="array" ref="E21">+CONVERTIRNUM(D21)</f>
        <v>Dos Millones Ochocientos Noventa Mil Pesos</v>
      </c>
      <c r="F21" s="126" cm="1">
        <f t="array" ref="F21">+Honorarios(D21,0.13)</f>
        <v>375700</v>
      </c>
      <c r="G21" s="127">
        <f>+_xlfn.XLOOKUP($A21,PRÉSTAMOS!$D:$D,PRÉSTAMOS!P:P)/100</f>
        <v>0.13</v>
      </c>
      <c r="H21" s="132">
        <v>44974</v>
      </c>
      <c r="I21" s="132">
        <f>+DATE(YEAR(Contratos[[#This Row],[FECHA DESEMBOLSO]]),MONTH(Contratos[[#This Row],[FECHA DESEMBOLSO]])+3,DAY(Contratos[[#This Row],[FECHA DESEMBOLSO]]))</f>
        <v>45063</v>
      </c>
      <c r="J21" t="str">
        <f>+_xlfn.XLOOKUP($A21,PRÉSTAMOS!$D:$D,PRÉSTAMOS!S:S)</f>
        <v>Adelanto</v>
      </c>
      <c r="K21" s="126">
        <f>+IFERROR(_xlfn.XLOOKUP(Contratos[[#This Row],[No. CONTRATO]],CajaTotal[REFERENCIA],CajaTotal[DEBITO]),0)</f>
        <v>0</v>
      </c>
      <c r="L21" s="125" t="str" cm="1">
        <f t="array" ref="L21">+IFERROR(MAX(_xlfn._xlws.FILTER(CajaTotal[FECHA],CajaTotal[REFERENCIA]=Contratos[[#This Row],[No. CONTRATO]])),"")</f>
        <v/>
      </c>
      <c r="M21" t="str">
        <f>+IF(_xlfn.XLOOKUP($A21,PRÉSTAMOS!$D:$D,PRÉSTAMOS!V:V)=0,"",_xlfn.XLOOKUP($A21,PRÉSTAMOS!$D:$D,PRÉSTAMOS!V:V))</f>
        <v>pago total</v>
      </c>
      <c r="N21" s="125">
        <f>+IF(_xlfn.XLOOKUP($A21,PRÉSTAMOS!$D:$D,PRÉSTAMOS!W:W)=0,"",_xlfn.XLOOKUP($A21,PRÉSTAMOS!$D:$D,PRÉSTAMOS!W:W))</f>
        <v>45107</v>
      </c>
      <c r="O21" s="125" t="str">
        <f>+IF(_xlfn.XLOOKUP($A21,PRÉSTAMOS!$D:$D,PRÉSTAMOS!X:X)=0,"",_xlfn.XLOOKUP($A21,PRÉSTAMOS!$D:$D,PRÉSTAMOS!X:X))</f>
        <v/>
      </c>
      <c r="R21" t="str">
        <f ca="1">+IF(Contratos[[#This Row],[JURIDICO]]=1,"PROCESO JURIDICO",IF(I21&lt;TODAY(),"VENCIDO","ACTIVO"))</f>
        <v>VENCIDO</v>
      </c>
    </row>
    <row r="22" spans="1:18" hidden="1" x14ac:dyDescent="0.25">
      <c r="A22">
        <v>437</v>
      </c>
      <c r="B22">
        <f>+_xlfn.XLOOKUP($A22,PRÉSTAMOS!$D:$D,PRÉSTAMOS!B:B)</f>
        <v>10059740</v>
      </c>
      <c r="C22" s="126">
        <f>+_xlfn.XLOOKUP($A22,PRÉSTAMOS!$D:$D,PRÉSTAMOS!K:K)</f>
        <v>500000</v>
      </c>
      <c r="D22" s="126" cm="1">
        <f t="array" ref="D22">+ValorProyectado_Aritmetico(C22,0.13,3)</f>
        <v>2195000</v>
      </c>
      <c r="E22" t="str" cm="1">
        <f t="array" ref="E22">+CONVERTIRNUM(D22)</f>
        <v>Dos Millones Ciento Noventa y Cinco Mil Pesos</v>
      </c>
      <c r="F22" s="126" cm="1">
        <f t="array" ref="F22">+Honorarios(D22,0.13)</f>
        <v>285350</v>
      </c>
      <c r="G22" s="127">
        <f>+_xlfn.XLOOKUP($A22,PRÉSTAMOS!$D:$D,PRÉSTAMOS!P:P)/100</f>
        <v>0.13</v>
      </c>
      <c r="H22" s="132">
        <v>44974</v>
      </c>
      <c r="I22" s="132">
        <f>+DATE(YEAR(Contratos[[#This Row],[FECHA DESEMBOLSO]]),MONTH(Contratos[[#This Row],[FECHA DESEMBOLSO]])+3,DAY(Contratos[[#This Row],[FECHA DESEMBOLSO]]))</f>
        <v>45063</v>
      </c>
      <c r="J22" t="str">
        <f>+_xlfn.XLOOKUP($A22,PRÉSTAMOS!$D:$D,PRÉSTAMOS!S:S)</f>
        <v>Adelanto</v>
      </c>
      <c r="K22" s="126">
        <f>+IFERROR(_xlfn.XLOOKUP(Contratos[[#This Row],[No. CONTRATO]],CajaTotal[REFERENCIA],CajaTotal[DEBITO]),0)</f>
        <v>0</v>
      </c>
      <c r="L22" s="125" t="str" cm="1">
        <f t="array" ref="L22">+IFERROR(MAX(_xlfn._xlws.FILTER(CajaTotal[FECHA],CajaTotal[REFERENCIA]=Contratos[[#This Row],[No. CONTRATO]])),"")</f>
        <v/>
      </c>
      <c r="M22" t="str">
        <f>+IF(_xlfn.XLOOKUP($A22,PRÉSTAMOS!$D:$D,PRÉSTAMOS!V:V)=0,"",_xlfn.XLOOKUP($A22,PRÉSTAMOS!$D:$D,PRÉSTAMOS!V:V))</f>
        <v>pago total</v>
      </c>
      <c r="N22" s="125">
        <f>+IF(_xlfn.XLOOKUP($A22,PRÉSTAMOS!$D:$D,PRÉSTAMOS!W:W)=0,"",_xlfn.XLOOKUP($A22,PRÉSTAMOS!$D:$D,PRÉSTAMOS!W:W))</f>
        <v>45107</v>
      </c>
      <c r="O22" s="125" t="str">
        <f>+IF(_xlfn.XLOOKUP($A22,PRÉSTAMOS!$D:$D,PRÉSTAMOS!X:X)=0,"",_xlfn.XLOOKUP($A22,PRÉSTAMOS!$D:$D,PRÉSTAMOS!X:X))</f>
        <v/>
      </c>
      <c r="R22" t="str">
        <f ca="1">+IF(Contratos[[#This Row],[JURIDICO]]=1,"PROCESO JURIDICO",IF(I22&lt;TODAY(),"VENCIDO","ACTIVO"))</f>
        <v>VENCIDO</v>
      </c>
    </row>
    <row r="23" spans="1:18" x14ac:dyDescent="0.25">
      <c r="A23">
        <v>438</v>
      </c>
      <c r="B23">
        <f>+_xlfn.XLOOKUP($A23,PRÉSTAMOS!$D:$D,PRÉSTAMOS!B:B)</f>
        <v>16474512</v>
      </c>
      <c r="C23" s="126">
        <f>+_xlfn.XLOOKUP($A23,PRÉSTAMOS!$D:$D,PRÉSTAMOS!K:K)</f>
        <v>1000000</v>
      </c>
      <c r="D23" s="126" cm="1">
        <f t="array" ref="D23">+ValorProyectado_Aritmetico(C23,0.13,3)</f>
        <v>2890000</v>
      </c>
      <c r="E23" t="str" cm="1">
        <f t="array" ref="E23">+CONVERTIRNUM(D23)</f>
        <v>Dos Millones Ochocientos Noventa Mil Pesos</v>
      </c>
      <c r="F23" s="126" cm="1">
        <f t="array" ref="F23">+Honorarios(D23,0.13)</f>
        <v>375700</v>
      </c>
      <c r="G23" s="127">
        <f>+_xlfn.XLOOKUP($A23,PRÉSTAMOS!$D:$D,PRÉSTAMOS!P:P)/100</f>
        <v>0.13</v>
      </c>
      <c r="H23" s="132">
        <v>44977</v>
      </c>
      <c r="I23" s="132">
        <f>+DATE(YEAR(Contratos[[#This Row],[FECHA DESEMBOLSO]]),MONTH(Contratos[[#This Row],[FECHA DESEMBOLSO]])+3,DAY(Contratos[[#This Row],[FECHA DESEMBOLSO]]))</f>
        <v>45066</v>
      </c>
      <c r="J23" t="str">
        <f>+_xlfn.XLOOKUP($A23,PRÉSTAMOS!$D:$D,PRÉSTAMOS!S:S)</f>
        <v>Préstamo</v>
      </c>
      <c r="K23" s="126">
        <f>+IFERROR(_xlfn.XLOOKUP(Contratos[[#This Row],[No. CONTRATO]],CajaTotal[REFERENCIA],CajaTotal[DEBITO]),0)</f>
        <v>0</v>
      </c>
      <c r="L23" s="125" t="str" cm="1">
        <f t="array" ref="L23">+IFERROR(MAX(_xlfn._xlws.FILTER(CajaTotal[FECHA],CajaTotal[REFERENCIA]=Contratos[[#This Row],[No. CONTRATO]])),"")</f>
        <v/>
      </c>
      <c r="M23" t="str">
        <f>+IF(_xlfn.XLOOKUP($A23,PRÉSTAMOS!$D:$D,PRÉSTAMOS!V:V)=0,"",_xlfn.XLOOKUP($A23,PRÉSTAMOS!$D:$D,PRÉSTAMOS!V:V))</f>
        <v/>
      </c>
      <c r="N23" s="125" t="str">
        <f>+IF(_xlfn.XLOOKUP($A23,PRÉSTAMOS!$D:$D,PRÉSTAMOS!W:W)=0,"",_xlfn.XLOOKUP($A23,PRÉSTAMOS!$D:$D,PRÉSTAMOS!W:W))</f>
        <v/>
      </c>
      <c r="O23" s="125" t="str">
        <f>+IF(_xlfn.XLOOKUP($A23,PRÉSTAMOS!$D:$D,PRÉSTAMOS!X:X)=0,"",_xlfn.XLOOKUP($A23,PRÉSTAMOS!$D:$D,PRÉSTAMOS!X:X))</f>
        <v/>
      </c>
      <c r="R23" t="str">
        <f ca="1">+IF(Contratos[[#This Row],[JURIDICO]]=1,"PROCESO JURIDICO",IF(I23&lt;TODAY(),"VENCIDO","ACTIVO"))</f>
        <v>VENCIDO</v>
      </c>
    </row>
    <row r="24" spans="1:18" hidden="1" x14ac:dyDescent="0.25">
      <c r="A24">
        <v>439</v>
      </c>
      <c r="B24">
        <f>+_xlfn.XLOOKUP($A24,PRÉSTAMOS!$D:$D,PRÉSTAMOS!B:B)</f>
        <v>10240555</v>
      </c>
      <c r="C24" s="126">
        <f>+_xlfn.XLOOKUP($A24,PRÉSTAMOS!$D:$D,PRÉSTAMOS!K:K)</f>
        <v>2500000</v>
      </c>
      <c r="D24" s="126" cm="1">
        <f t="array" ref="D24">+ValorProyectado_Aritmetico(C24,0.13,3)</f>
        <v>4975000</v>
      </c>
      <c r="E24" t="str" cm="1">
        <f t="array" ref="E24">+CONVERTIRNUM(D24)</f>
        <v>Cuatro Millones Novecientos Setenta y Cinco Mil Pesos</v>
      </c>
      <c r="F24" s="126" cm="1">
        <f t="array" ref="F24">+Honorarios(D24,0.13)</f>
        <v>646750</v>
      </c>
      <c r="G24" s="127">
        <f>+_xlfn.XLOOKUP($A24,PRÉSTAMOS!$D:$D,PRÉSTAMOS!P:P)/100</f>
        <v>0.13</v>
      </c>
      <c r="H24" s="132">
        <v>44979</v>
      </c>
      <c r="I24" s="132">
        <f>+DATE(YEAR(Contratos[[#This Row],[FECHA DESEMBOLSO]]),MONTH(Contratos[[#This Row],[FECHA DESEMBOLSO]])+3,DAY(Contratos[[#This Row],[FECHA DESEMBOLSO]]))</f>
        <v>45068</v>
      </c>
      <c r="J24" t="str">
        <f>+_xlfn.XLOOKUP($A24,PRÉSTAMOS!$D:$D,PRÉSTAMOS!S:S)</f>
        <v>Normalización</v>
      </c>
      <c r="K24" s="126">
        <f>+IFERROR(_xlfn.XLOOKUP(Contratos[[#This Row],[No. CONTRATO]],CajaTotal[REFERENCIA],CajaTotal[DEBITO]),0)</f>
        <v>0</v>
      </c>
      <c r="L24" s="125" t="str" cm="1">
        <f t="array" ref="L24">+IFERROR(MAX(_xlfn._xlws.FILTER(CajaTotal[FECHA],CajaTotal[REFERENCIA]=Contratos[[#This Row],[No. CONTRATO]])),"")</f>
        <v/>
      </c>
      <c r="M24" t="str">
        <f>+IF(_xlfn.XLOOKUP($A24,PRÉSTAMOS!$D:$D,PRÉSTAMOS!V:V)=0,"",_xlfn.XLOOKUP($A24,PRÉSTAMOS!$D:$D,PRÉSTAMOS!V:V))</f>
        <v>PAGO TOTAL</v>
      </c>
      <c r="N24" s="125">
        <f>+IF(_xlfn.XLOOKUP($A24,PRÉSTAMOS!$D:$D,PRÉSTAMOS!W:W)=0,"",_xlfn.XLOOKUP($A24,PRÉSTAMOS!$D:$D,PRÉSTAMOS!W:W))</f>
        <v>45007</v>
      </c>
      <c r="O24" s="125" t="str">
        <f>+IF(_xlfn.XLOOKUP($A24,PRÉSTAMOS!$D:$D,PRÉSTAMOS!X:X)=0,"",_xlfn.XLOOKUP($A24,PRÉSTAMOS!$D:$D,PRÉSTAMOS!X:X))</f>
        <v/>
      </c>
      <c r="R24" t="str">
        <f ca="1">+IF(Contratos[[#This Row],[JURIDICO]]=1,"PROCESO JURIDICO",IF(I24&lt;TODAY(),"VENCIDO","ACTIVO"))</f>
        <v>VENCIDO</v>
      </c>
    </row>
    <row r="25" spans="1:18" x14ac:dyDescent="0.25">
      <c r="A25">
        <v>440</v>
      </c>
      <c r="B25">
        <f>+_xlfn.XLOOKUP($A25,PRÉSTAMOS!$D:$D,PRÉSTAMOS!B:B)</f>
        <v>4509079</v>
      </c>
      <c r="C25" s="126">
        <f>+_xlfn.XLOOKUP($A25,PRÉSTAMOS!$D:$D,PRÉSTAMOS!K:K)</f>
        <v>500000</v>
      </c>
      <c r="D25" s="126" cm="1">
        <f t="array" ref="D25">+ValorProyectado_Aritmetico(C25,0.13,3)</f>
        <v>2195000</v>
      </c>
      <c r="E25" t="str" cm="1">
        <f t="array" ref="E25">+CONVERTIRNUM(D25)</f>
        <v>Dos Millones Ciento Noventa y Cinco Mil Pesos</v>
      </c>
      <c r="F25" s="126" cm="1">
        <f t="array" ref="F25">+Honorarios(D25,0.13)</f>
        <v>285350</v>
      </c>
      <c r="G25" s="127">
        <f>+_xlfn.XLOOKUP($A25,PRÉSTAMOS!$D:$D,PRÉSTAMOS!P:P)/100</f>
        <v>0.13</v>
      </c>
      <c r="H25" s="132">
        <v>44984</v>
      </c>
      <c r="I25" s="132">
        <f>+DATE(YEAR(Contratos[[#This Row],[FECHA DESEMBOLSO]]),MONTH(Contratos[[#This Row],[FECHA DESEMBOLSO]])+3,DAY(Contratos[[#This Row],[FECHA DESEMBOLSO]]))</f>
        <v>45073</v>
      </c>
      <c r="J25" t="str">
        <f>+_xlfn.XLOOKUP($A25,PRÉSTAMOS!$D:$D,PRÉSTAMOS!S:S)</f>
        <v>Adelanto</v>
      </c>
      <c r="K25" s="126">
        <f>+IFERROR(_xlfn.XLOOKUP(Contratos[[#This Row],[No. CONTRATO]],CajaTotal[REFERENCIA],CajaTotal[DEBITO]),0)</f>
        <v>0</v>
      </c>
      <c r="L25" s="125" t="str" cm="1">
        <f t="array" ref="L25">+IFERROR(MAX(_xlfn._xlws.FILTER(CajaTotal[FECHA],CajaTotal[REFERENCIA]=Contratos[[#This Row],[No. CONTRATO]])),"")</f>
        <v/>
      </c>
      <c r="M25" t="str">
        <f>+IF(_xlfn.XLOOKUP($A25,PRÉSTAMOS!$D:$D,PRÉSTAMOS!V:V)=0,"",_xlfn.XLOOKUP($A25,PRÉSTAMOS!$D:$D,PRÉSTAMOS!V:V))</f>
        <v/>
      </c>
      <c r="N25" s="125" t="str">
        <f>+IF(_xlfn.XLOOKUP($A25,PRÉSTAMOS!$D:$D,PRÉSTAMOS!W:W)=0,"",_xlfn.XLOOKUP($A25,PRÉSTAMOS!$D:$D,PRÉSTAMOS!W:W))</f>
        <v/>
      </c>
      <c r="O25" s="125" t="str">
        <f>+IF(_xlfn.XLOOKUP($A25,PRÉSTAMOS!$D:$D,PRÉSTAMOS!X:X)=0,"",_xlfn.XLOOKUP($A25,PRÉSTAMOS!$D:$D,PRÉSTAMOS!X:X))</f>
        <v>No se hizo el préstamo ya que el cliente no los necesitaba</v>
      </c>
      <c r="R25" t="str">
        <f ca="1">+IF(Contratos[[#This Row],[JURIDICO]]=1,"PROCESO JURIDICO",IF(I25&lt;TODAY(),"VENCIDO","ACTIVO"))</f>
        <v>VENCIDO</v>
      </c>
    </row>
    <row r="26" spans="1:18" hidden="1" x14ac:dyDescent="0.25">
      <c r="A26">
        <v>441</v>
      </c>
      <c r="B26">
        <f>+_xlfn.XLOOKUP($A26,PRÉSTAMOS!$D:$D,PRÉSTAMOS!B:B)</f>
        <v>15957753</v>
      </c>
      <c r="C26" s="126">
        <f>+_xlfn.XLOOKUP($A26,PRÉSTAMOS!$D:$D,PRÉSTAMOS!K:K)</f>
        <v>2000000</v>
      </c>
      <c r="D26" s="126" cm="1">
        <f t="array" ref="D26">+ValorProyectado_Aritmetico(C26,0.13,3)</f>
        <v>4280000</v>
      </c>
      <c r="E26" t="str" cm="1">
        <f t="array" ref="E26">+CONVERTIRNUM(D26)</f>
        <v>Cuatro Millones Doscientos Ochenta Mil Pesos</v>
      </c>
      <c r="F26" s="126" cm="1">
        <f t="array" ref="F26">+Honorarios(D26,0.13)</f>
        <v>556400</v>
      </c>
      <c r="G26" s="127">
        <f>+_xlfn.XLOOKUP($A26,PRÉSTAMOS!$D:$D,PRÉSTAMOS!P:P)/100</f>
        <v>0.13</v>
      </c>
      <c r="H26" s="132">
        <v>44986</v>
      </c>
      <c r="I26" s="132">
        <f>+DATE(YEAR(Contratos[[#This Row],[FECHA DESEMBOLSO]]),MONTH(Contratos[[#This Row],[FECHA DESEMBOLSO]])+3,DAY(Contratos[[#This Row],[FECHA DESEMBOLSO]]))</f>
        <v>45078</v>
      </c>
      <c r="J26" t="str">
        <f>+_xlfn.XLOOKUP($A26,PRÉSTAMOS!$D:$D,PRÉSTAMOS!S:S)</f>
        <v>Adelanto</v>
      </c>
      <c r="K26" s="126">
        <f>+IFERROR(_xlfn.XLOOKUP(Contratos[[#This Row],[No. CONTRATO]],CajaTotal[REFERENCIA],CajaTotal[DEBITO]),0)</f>
        <v>0</v>
      </c>
      <c r="L26" s="125" t="str" cm="1">
        <f t="array" ref="L26">+IFERROR(MAX(_xlfn._xlws.FILTER(CajaTotal[FECHA],CajaTotal[REFERENCIA]=Contratos[[#This Row],[No. CONTRATO]])),"")</f>
        <v/>
      </c>
      <c r="M26" t="str">
        <f>+IF(_xlfn.XLOOKUP($A26,PRÉSTAMOS!$D:$D,PRÉSTAMOS!V:V)=0,"",_xlfn.XLOOKUP($A26,PRÉSTAMOS!$D:$D,PRÉSTAMOS!V:V))</f>
        <v>PAGO TOTAL</v>
      </c>
      <c r="N26" s="125">
        <f>+IF(_xlfn.XLOOKUP($A26,PRÉSTAMOS!$D:$D,PRÉSTAMOS!W:W)=0,"",_xlfn.XLOOKUP($A26,PRÉSTAMOS!$D:$D,PRÉSTAMOS!W:W))</f>
        <v>44998</v>
      </c>
      <c r="O26" s="125" t="str">
        <f>+IF(_xlfn.XLOOKUP($A26,PRÉSTAMOS!$D:$D,PRÉSTAMOS!X:X)=0,"",_xlfn.XLOOKUP($A26,PRÉSTAMOS!$D:$D,PRÉSTAMOS!X:X))</f>
        <v/>
      </c>
      <c r="R26" t="str">
        <f ca="1">+IF(Contratos[[#This Row],[JURIDICO]]=1,"PROCESO JURIDICO",IF(I26&lt;TODAY(),"VENCIDO","ACTIVO"))</f>
        <v>VENCIDO</v>
      </c>
    </row>
    <row r="27" spans="1:18" hidden="1" x14ac:dyDescent="0.25">
      <c r="A27">
        <v>442</v>
      </c>
      <c r="B27">
        <f>+_xlfn.XLOOKUP($A27,PRÉSTAMOS!$D:$D,PRÉSTAMOS!B:B)</f>
        <v>10122618</v>
      </c>
      <c r="C27" s="126">
        <f>+_xlfn.XLOOKUP($A27,PRÉSTAMOS!$D:$D,PRÉSTAMOS!K:K)</f>
        <v>500000</v>
      </c>
      <c r="D27" s="126" cm="1">
        <f t="array" ref="D27">+ValorProyectado_Aritmetico(C27,0.13,3)</f>
        <v>2195000</v>
      </c>
      <c r="E27" t="str" cm="1">
        <f t="array" ref="E27">+CONVERTIRNUM(D27)</f>
        <v>Dos Millones Ciento Noventa y Cinco Mil Pesos</v>
      </c>
      <c r="F27" s="126" cm="1">
        <f t="array" ref="F27">+Honorarios(D27,0.13)</f>
        <v>285350</v>
      </c>
      <c r="G27" s="127">
        <f>+_xlfn.XLOOKUP($A27,PRÉSTAMOS!$D:$D,PRÉSTAMOS!P:P)/100</f>
        <v>0.13</v>
      </c>
      <c r="H27" s="132">
        <v>44986</v>
      </c>
      <c r="I27" s="132">
        <f>+DATE(YEAR(Contratos[[#This Row],[FECHA DESEMBOLSO]]),MONTH(Contratos[[#This Row],[FECHA DESEMBOLSO]])+3,DAY(Contratos[[#This Row],[FECHA DESEMBOLSO]]))</f>
        <v>45078</v>
      </c>
      <c r="J27" t="str">
        <f>+_xlfn.XLOOKUP($A27,PRÉSTAMOS!$D:$D,PRÉSTAMOS!S:S)</f>
        <v>Adelanto</v>
      </c>
      <c r="K27" s="126">
        <f>+IFERROR(_xlfn.XLOOKUP(Contratos[[#This Row],[No. CONTRATO]],CajaTotal[REFERENCIA],CajaTotal[DEBITO]),0)</f>
        <v>0</v>
      </c>
      <c r="L27" s="125" t="str" cm="1">
        <f t="array" ref="L27">+IFERROR(MAX(_xlfn._xlws.FILTER(CajaTotal[FECHA],CajaTotal[REFERENCIA]=Contratos[[#This Row],[No. CONTRATO]])),"")</f>
        <v/>
      </c>
      <c r="M27" t="str">
        <f>+IF(_xlfn.XLOOKUP($A27,PRÉSTAMOS!$D:$D,PRÉSTAMOS!V:V)=0,"",_xlfn.XLOOKUP($A27,PRÉSTAMOS!$D:$D,PRÉSTAMOS!V:V))</f>
        <v>PAGO TOTAL</v>
      </c>
      <c r="N27" s="125">
        <f>+IF(_xlfn.XLOOKUP($A27,PRÉSTAMOS!$D:$D,PRÉSTAMOS!W:W)=0,"",_xlfn.XLOOKUP($A27,PRÉSTAMOS!$D:$D,PRÉSTAMOS!W:W))</f>
        <v>45008</v>
      </c>
      <c r="O27" s="125" t="str">
        <f>+IF(_xlfn.XLOOKUP($A27,PRÉSTAMOS!$D:$D,PRÉSTAMOS!X:X)=0,"",_xlfn.XLOOKUP($A27,PRÉSTAMOS!$D:$D,PRÉSTAMOS!X:X))</f>
        <v/>
      </c>
      <c r="R27" t="str">
        <f ca="1">+IF(Contratos[[#This Row],[JURIDICO]]=1,"PROCESO JURIDICO",IF(I27&lt;TODAY(),"VENCIDO","ACTIVO"))</f>
        <v>VENCIDO</v>
      </c>
    </row>
    <row r="28" spans="1:18" hidden="1" x14ac:dyDescent="0.25">
      <c r="A28">
        <v>443</v>
      </c>
      <c r="B28">
        <f>+_xlfn.XLOOKUP($A28,PRÉSTAMOS!$D:$D,PRÉSTAMOS!B:B)</f>
        <v>10122618</v>
      </c>
      <c r="C28" s="126">
        <f>+_xlfn.XLOOKUP($A28,PRÉSTAMOS!$D:$D,PRÉSTAMOS!K:K)</f>
        <v>1000000</v>
      </c>
      <c r="D28" s="126" cm="1">
        <f t="array" ref="D28">+ValorProyectado_Aritmetico(C28,0.13,3)</f>
        <v>2890000</v>
      </c>
      <c r="E28" t="str" cm="1">
        <f t="array" ref="E28">+CONVERTIRNUM(D28)</f>
        <v>Dos Millones Ochocientos Noventa Mil Pesos</v>
      </c>
      <c r="F28" s="126" cm="1">
        <f t="array" ref="F28">+Honorarios(D28,0.13)</f>
        <v>375700</v>
      </c>
      <c r="G28" s="127">
        <f>+_xlfn.XLOOKUP($A28,PRÉSTAMOS!$D:$D,PRÉSTAMOS!P:P)/100</f>
        <v>0.13</v>
      </c>
      <c r="H28" s="132">
        <v>44988</v>
      </c>
      <c r="I28" s="132">
        <f>+DATE(YEAR(Contratos[[#This Row],[FECHA DESEMBOLSO]]),MONTH(Contratos[[#This Row],[FECHA DESEMBOLSO]])+3,DAY(Contratos[[#This Row],[FECHA DESEMBOLSO]]))</f>
        <v>45080</v>
      </c>
      <c r="J28" t="str">
        <f>+_xlfn.XLOOKUP($A28,PRÉSTAMOS!$D:$D,PRÉSTAMOS!S:S)</f>
        <v>Adelanto</v>
      </c>
      <c r="K28" s="126">
        <f>+IFERROR(_xlfn.XLOOKUP(Contratos[[#This Row],[No. CONTRATO]],CajaTotal[REFERENCIA],CajaTotal[DEBITO]),0)</f>
        <v>0</v>
      </c>
      <c r="L28" s="125" t="str" cm="1">
        <f t="array" ref="L28">+IFERROR(MAX(_xlfn._xlws.FILTER(CajaTotal[FECHA],CajaTotal[REFERENCIA]=Contratos[[#This Row],[No. CONTRATO]])),"")</f>
        <v/>
      </c>
      <c r="M28" t="str">
        <f>+IF(_xlfn.XLOOKUP($A28,PRÉSTAMOS!$D:$D,PRÉSTAMOS!V:V)=0,"",_xlfn.XLOOKUP($A28,PRÉSTAMOS!$D:$D,PRÉSTAMOS!V:V))</f>
        <v>PAGO TOTAL</v>
      </c>
      <c r="N28" s="125">
        <f>+IF(_xlfn.XLOOKUP($A28,PRÉSTAMOS!$D:$D,PRÉSTAMOS!W:W)=0,"",_xlfn.XLOOKUP($A28,PRÉSTAMOS!$D:$D,PRÉSTAMOS!W:W))</f>
        <v>45008</v>
      </c>
      <c r="O28" s="125" t="str">
        <f>+IF(_xlfn.XLOOKUP($A28,PRÉSTAMOS!$D:$D,PRÉSTAMOS!X:X)=0,"",_xlfn.XLOOKUP($A28,PRÉSTAMOS!$D:$D,PRÉSTAMOS!X:X))</f>
        <v/>
      </c>
      <c r="R28" t="str">
        <f ca="1">+IF(Contratos[[#This Row],[JURIDICO]]=1,"PROCESO JURIDICO",IF(I28&lt;TODAY(),"VENCIDO","ACTIVO"))</f>
        <v>VENCIDO</v>
      </c>
    </row>
    <row r="29" spans="1:18" x14ac:dyDescent="0.25">
      <c r="A29">
        <v>444</v>
      </c>
      <c r="B29">
        <f>+_xlfn.XLOOKUP($A29,PRÉSTAMOS!$D:$D,PRÉSTAMOS!B:B)</f>
        <v>18501536</v>
      </c>
      <c r="C29" s="126">
        <f>+_xlfn.XLOOKUP($A29,PRÉSTAMOS!$D:$D,PRÉSTAMOS!K:K)</f>
        <v>350000</v>
      </c>
      <c r="D29" s="126" cm="1">
        <f t="array" ref="D29">+ValorProyectado_Aritmetico(C29,0.13,3)</f>
        <v>1986500</v>
      </c>
      <c r="E29" t="str" cm="1">
        <f t="array" ref="E29">+CONVERTIRNUM(D29)</f>
        <v>Un Millón Novecientos Ochenta y Seis Mil Quinientos Pesos</v>
      </c>
      <c r="F29" s="126" cm="1">
        <f t="array" ref="F29">+Honorarios(D29,0.13)</f>
        <v>258245</v>
      </c>
      <c r="G29" s="127">
        <f>+_xlfn.XLOOKUP($A29,PRÉSTAMOS!$D:$D,PRÉSTAMOS!P:P)/100</f>
        <v>0.13</v>
      </c>
      <c r="H29" s="132">
        <v>44995</v>
      </c>
      <c r="I29" s="132">
        <f>+DATE(YEAR(Contratos[[#This Row],[FECHA DESEMBOLSO]]),MONTH(Contratos[[#This Row],[FECHA DESEMBOLSO]])+3,DAY(Contratos[[#This Row],[FECHA DESEMBOLSO]]))</f>
        <v>45087</v>
      </c>
      <c r="J29" t="str">
        <f>+_xlfn.XLOOKUP($A29,PRÉSTAMOS!$D:$D,PRÉSTAMOS!S:S)</f>
        <v>Préstamo</v>
      </c>
      <c r="K29" s="126">
        <f>+IFERROR(_xlfn.XLOOKUP(Contratos[[#This Row],[No. CONTRATO]],CajaTotal[REFERENCIA],CajaTotal[DEBITO]),0)</f>
        <v>0</v>
      </c>
      <c r="L29" s="125" t="str" cm="1">
        <f t="array" ref="L29">+IFERROR(MAX(_xlfn._xlws.FILTER(CajaTotal[FECHA],CajaTotal[REFERENCIA]=Contratos[[#This Row],[No. CONTRATO]])),"")</f>
        <v/>
      </c>
      <c r="M29" t="str">
        <f>+IF(_xlfn.XLOOKUP($A29,PRÉSTAMOS!$D:$D,PRÉSTAMOS!V:V)=0,"",_xlfn.XLOOKUP($A29,PRÉSTAMOS!$D:$D,PRÉSTAMOS!V:V))</f>
        <v>Pago cuota # 2/6</v>
      </c>
      <c r="N29" s="125" t="str">
        <f>+IF(_xlfn.XLOOKUP($A29,PRÉSTAMOS!$D:$D,PRÉSTAMOS!W:W)=0,"",_xlfn.XLOOKUP($A29,PRÉSTAMOS!$D:$D,PRÉSTAMOS!W:W))</f>
        <v/>
      </c>
      <c r="O29" s="125" t="str">
        <f>+IF(_xlfn.XLOOKUP($A29,PRÉSTAMOS!$D:$D,PRÉSTAMOS!X:X)=0,"",_xlfn.XLOOKUP($A29,PRÉSTAMOS!$D:$D,PRÉSTAMOS!X:X))</f>
        <v/>
      </c>
      <c r="R29" t="str">
        <f ca="1">+IF(Contratos[[#This Row],[JURIDICO]]=1,"PROCESO JURIDICO",IF(I29&lt;TODAY(),"VENCIDO","ACTIVO"))</f>
        <v>VENCIDO</v>
      </c>
    </row>
    <row r="30" spans="1:18" x14ac:dyDescent="0.25">
      <c r="A30">
        <v>445</v>
      </c>
      <c r="B30">
        <f>+_xlfn.XLOOKUP($A30,PRÉSTAMOS!$D:$D,PRÉSTAMOS!B:B)</f>
        <v>84009805</v>
      </c>
      <c r="C30" s="126">
        <f>+_xlfn.XLOOKUP($A30,PRÉSTAMOS!$D:$D,PRÉSTAMOS!K:K)</f>
        <v>1000000</v>
      </c>
      <c r="D30" s="126" cm="1">
        <f t="array" ref="D30">+ValorProyectado_Aritmetico(C30,0.13,3)</f>
        <v>2890000</v>
      </c>
      <c r="E30" t="str" cm="1">
        <f t="array" ref="E30">+CONVERTIRNUM(D30)</f>
        <v>Dos Millones Ochocientos Noventa Mil Pesos</v>
      </c>
      <c r="F30" s="126" cm="1">
        <f t="array" ref="F30">+Honorarios(D30,0.13)</f>
        <v>375700</v>
      </c>
      <c r="G30" s="127">
        <f>+_xlfn.XLOOKUP($A30,PRÉSTAMOS!$D:$D,PRÉSTAMOS!P:P)/100</f>
        <v>0.13</v>
      </c>
      <c r="H30" s="132">
        <v>44996</v>
      </c>
      <c r="I30" s="132">
        <f>+DATE(YEAR(Contratos[[#This Row],[FECHA DESEMBOLSO]]),MONTH(Contratos[[#This Row],[FECHA DESEMBOLSO]])+3,DAY(Contratos[[#This Row],[FECHA DESEMBOLSO]]))</f>
        <v>45088</v>
      </c>
      <c r="J30" t="str">
        <f>+_xlfn.XLOOKUP($A30,PRÉSTAMOS!$D:$D,PRÉSTAMOS!S:S)</f>
        <v>Adelanto</v>
      </c>
      <c r="K30" s="126">
        <f>+IFERROR(_xlfn.XLOOKUP(Contratos[[#This Row],[No. CONTRATO]],CajaTotal[REFERENCIA],CajaTotal[DEBITO]),0)</f>
        <v>0</v>
      </c>
      <c r="L30" s="125" t="str" cm="1">
        <f t="array" ref="L30">+IFERROR(MAX(_xlfn._xlws.FILTER(CajaTotal[FECHA],CajaTotal[REFERENCIA]=Contratos[[#This Row],[No. CONTRATO]])),"")</f>
        <v/>
      </c>
      <c r="M30" t="str">
        <f>+IF(_xlfn.XLOOKUP($A30,PRÉSTAMOS!$D:$D,PRÉSTAMOS!V:V)=0,"",_xlfn.XLOOKUP($A30,PRÉSTAMOS!$D:$D,PRÉSTAMOS!V:V))</f>
        <v/>
      </c>
      <c r="N30" s="125" t="str">
        <f>+IF(_xlfn.XLOOKUP($A30,PRÉSTAMOS!$D:$D,PRÉSTAMOS!W:W)=0,"",_xlfn.XLOOKUP($A30,PRÉSTAMOS!$D:$D,PRÉSTAMOS!W:W))</f>
        <v/>
      </c>
      <c r="O30" s="125" t="str">
        <f>+IF(_xlfn.XLOOKUP($A30,PRÉSTAMOS!$D:$D,PRÉSTAMOS!X:X)=0,"",_xlfn.XLOOKUP($A30,PRÉSTAMOS!$D:$D,PRÉSTAMOS!X:X))</f>
        <v/>
      </c>
      <c r="R30" t="str">
        <f ca="1">+IF(Contratos[[#This Row],[JURIDICO]]=1,"PROCESO JURIDICO",IF(I30&lt;TODAY(),"VENCIDO","ACTIVO"))</f>
        <v>VENCIDO</v>
      </c>
    </row>
    <row r="31" spans="1:18" x14ac:dyDescent="0.25">
      <c r="A31" t="s">
        <v>570</v>
      </c>
      <c r="B31">
        <f>+_xlfn.XLOOKUP($A31,PRÉSTAMOS!$D:$D,PRÉSTAMOS!B:B)</f>
        <v>10106423</v>
      </c>
      <c r="C31" s="126">
        <f>+_xlfn.XLOOKUP($A31,PRÉSTAMOS!$D:$D,PRÉSTAMOS!K:K)</f>
        <v>8000000</v>
      </c>
      <c r="D31" s="126" cm="1">
        <f t="array" ref="D31">+ValorProyectado_Aritmetico(C31,0.13,3)</f>
        <v>12620000</v>
      </c>
      <c r="E31" t="str" cm="1">
        <f t="array" ref="E31">+CONVERTIRNUM(D31)</f>
        <v>Doce Millones Seiscientos Veinte Mil Pesos</v>
      </c>
      <c r="F31" s="126" cm="1">
        <f t="array" ref="F31">+Honorarios(D31,0.13)</f>
        <v>1640600</v>
      </c>
      <c r="G31" s="127">
        <f>+_xlfn.XLOOKUP($A31,PRÉSTAMOS!$D:$D,PRÉSTAMOS!P:P)/100</f>
        <v>0.13</v>
      </c>
      <c r="H31" s="132">
        <v>44996</v>
      </c>
      <c r="I31" s="132">
        <f>+DATE(YEAR(Contratos[[#This Row],[FECHA DESEMBOLSO]]),MONTH(Contratos[[#This Row],[FECHA DESEMBOLSO]])+3,DAY(Contratos[[#This Row],[FECHA DESEMBOLSO]]))</f>
        <v>45088</v>
      </c>
      <c r="J31" t="str">
        <f>+_xlfn.XLOOKUP($A31,PRÉSTAMOS!$D:$D,PRÉSTAMOS!S:S)</f>
        <v>Préstamo</v>
      </c>
      <c r="K31" s="126">
        <f>+IFERROR(_xlfn.XLOOKUP(Contratos[[#This Row],[No. CONTRATO]],CajaTotal[REFERENCIA],CajaTotal[DEBITO]),0)</f>
        <v>0</v>
      </c>
      <c r="L31" s="125" t="str" cm="1">
        <f t="array" ref="L31">+IFERROR(MAX(_xlfn._xlws.FILTER(CajaTotal[FECHA],CajaTotal[REFERENCIA]=Contratos[[#This Row],[No. CONTRATO]])),"")</f>
        <v/>
      </c>
      <c r="M31" t="str">
        <f>+IF(_xlfn.XLOOKUP($A31,PRÉSTAMOS!$D:$D,PRÉSTAMOS!V:V)=0,"",_xlfn.XLOOKUP($A31,PRÉSTAMOS!$D:$D,PRÉSTAMOS!V:V))</f>
        <v/>
      </c>
      <c r="N31" s="125" t="str">
        <f>+IF(_xlfn.XLOOKUP($A31,PRÉSTAMOS!$D:$D,PRÉSTAMOS!W:W)=0,"",_xlfn.XLOOKUP($A31,PRÉSTAMOS!$D:$D,PRÉSTAMOS!W:W))</f>
        <v/>
      </c>
      <c r="O31" s="125" t="str">
        <f>+IF(_xlfn.XLOOKUP($A31,PRÉSTAMOS!$D:$D,PRÉSTAMOS!X:X)=0,"",_xlfn.XLOOKUP($A31,PRÉSTAMOS!$D:$D,PRÉSTAMOS!X:X))</f>
        <v>EMBARGO ESTRATÉGICO</v>
      </c>
      <c r="R31" t="str">
        <f ca="1">+IF(Contratos[[#This Row],[JURIDICO]]=1,"PROCESO JURIDICO",IF(I31&lt;TODAY(),"VENCIDO","ACTIVO"))</f>
        <v>VENCIDO</v>
      </c>
    </row>
    <row r="32" spans="1:18" hidden="1" x14ac:dyDescent="0.25">
      <c r="A32">
        <v>446</v>
      </c>
      <c r="B32">
        <f>+_xlfn.XLOOKUP($A32,PRÉSTAMOS!$D:$D,PRÉSTAMOS!B:B)</f>
        <v>10078414</v>
      </c>
      <c r="C32" s="126">
        <f>+_xlfn.XLOOKUP($A32,PRÉSTAMOS!$D:$D,PRÉSTAMOS!K:K)</f>
        <v>1000000</v>
      </c>
      <c r="D32" s="126" cm="1">
        <f t="array" ref="D32">+ValorProyectado_Aritmetico(C32,0.13,3)</f>
        <v>2890000</v>
      </c>
      <c r="E32" t="str" cm="1">
        <f t="array" ref="E32">+CONVERTIRNUM(D32)</f>
        <v>Dos Millones Ochocientos Noventa Mil Pesos</v>
      </c>
      <c r="F32" s="126" cm="1">
        <f t="array" ref="F32">+Honorarios(D32,0.13)</f>
        <v>375700</v>
      </c>
      <c r="G32" s="127">
        <f>+_xlfn.XLOOKUP($A32,PRÉSTAMOS!$D:$D,PRÉSTAMOS!P:P)/100</f>
        <v>0.13</v>
      </c>
      <c r="H32" s="132">
        <v>44998</v>
      </c>
      <c r="I32" s="132">
        <f>+DATE(YEAR(Contratos[[#This Row],[FECHA DESEMBOLSO]]),MONTH(Contratos[[#This Row],[FECHA DESEMBOLSO]])+3,DAY(Contratos[[#This Row],[FECHA DESEMBOLSO]]))</f>
        <v>45090</v>
      </c>
      <c r="J32" t="str">
        <f>+_xlfn.XLOOKUP($A32,PRÉSTAMOS!$D:$D,PRÉSTAMOS!S:S)</f>
        <v>Adelanto</v>
      </c>
      <c r="K32" s="126">
        <f>+IFERROR(_xlfn.XLOOKUP(Contratos[[#This Row],[No. CONTRATO]],CajaTotal[REFERENCIA],CajaTotal[DEBITO]),0)</f>
        <v>0</v>
      </c>
      <c r="L32" s="125" t="str" cm="1">
        <f t="array" ref="L32">+IFERROR(MAX(_xlfn._xlws.FILTER(CajaTotal[FECHA],CajaTotal[REFERENCIA]=Contratos[[#This Row],[No. CONTRATO]])),"")</f>
        <v/>
      </c>
      <c r="M32" t="str">
        <f>+IF(_xlfn.XLOOKUP($A32,PRÉSTAMOS!$D:$D,PRÉSTAMOS!V:V)=0,"",_xlfn.XLOOKUP($A32,PRÉSTAMOS!$D:$D,PRÉSTAMOS!V:V))</f>
        <v>PAGO TOTAL</v>
      </c>
      <c r="N32" s="125">
        <f>+IF(_xlfn.XLOOKUP($A32,PRÉSTAMOS!$D:$D,PRÉSTAMOS!W:W)=0,"",_xlfn.XLOOKUP($A32,PRÉSTAMOS!$D:$D,PRÉSTAMOS!W:W))</f>
        <v>45009</v>
      </c>
      <c r="O32" s="125" t="str">
        <f>+IF(_xlfn.XLOOKUP($A32,PRÉSTAMOS!$D:$D,PRÉSTAMOS!X:X)=0,"",_xlfn.XLOOKUP($A32,PRÉSTAMOS!$D:$D,PRÉSTAMOS!X:X))</f>
        <v/>
      </c>
      <c r="R32" t="str">
        <f ca="1">+IF(Contratos[[#This Row],[JURIDICO]]=1,"PROCESO JURIDICO",IF(I32&lt;TODAY(),"VENCIDO","ACTIVO"))</f>
        <v>VENCIDO</v>
      </c>
    </row>
    <row r="33" spans="1:18" x14ac:dyDescent="0.25">
      <c r="A33">
        <v>447</v>
      </c>
      <c r="B33">
        <f>+_xlfn.XLOOKUP($A33,PRÉSTAMOS!$D:$D,PRÉSTAMOS!B:B)</f>
        <v>5756175</v>
      </c>
      <c r="C33" s="126">
        <f>+_xlfn.XLOOKUP($A33,PRÉSTAMOS!$D:$D,PRÉSTAMOS!K:K)</f>
        <v>1155000</v>
      </c>
      <c r="D33" s="126" cm="1">
        <f t="array" ref="D33">+ValorProyectado_Aritmetico(C33,0.13,3)</f>
        <v>3105450</v>
      </c>
      <c r="E33" t="str" cm="1">
        <f t="array" ref="E33">+CONVERTIRNUM(D33)</f>
        <v>Tres Millones Ciento Cinco Mil Cuatrocientos Cincuenta Pesos</v>
      </c>
      <c r="F33" s="126" cm="1">
        <f t="array" ref="F33">+Honorarios(D33,0.13)</f>
        <v>403708.5</v>
      </c>
      <c r="G33" s="127">
        <f>+_xlfn.XLOOKUP($A33,PRÉSTAMOS!$D:$D,PRÉSTAMOS!P:P)/100</f>
        <v>0.13</v>
      </c>
      <c r="H33" s="132">
        <v>45000</v>
      </c>
      <c r="I33" s="132">
        <f>+DATE(YEAR(Contratos[[#This Row],[FECHA DESEMBOLSO]]),MONTH(Contratos[[#This Row],[FECHA DESEMBOLSO]])+3,DAY(Contratos[[#This Row],[FECHA DESEMBOLSO]]))</f>
        <v>45092</v>
      </c>
      <c r="J33" t="str">
        <f>+_xlfn.XLOOKUP($A33,PRÉSTAMOS!$D:$D,PRÉSTAMOS!S:S)</f>
        <v>Préstamo</v>
      </c>
      <c r="K33" s="126">
        <f>+IFERROR(_xlfn.XLOOKUP(Contratos[[#This Row],[No. CONTRATO]],CajaTotal[REFERENCIA],CajaTotal[DEBITO]),0)</f>
        <v>0</v>
      </c>
      <c r="L33" s="125" t="str" cm="1">
        <f t="array" ref="L33">+IFERROR(MAX(_xlfn._xlws.FILTER(CajaTotal[FECHA],CajaTotal[REFERENCIA]=Contratos[[#This Row],[No. CONTRATO]])),"")</f>
        <v/>
      </c>
      <c r="M33" t="str">
        <f>+IF(_xlfn.XLOOKUP($A33,PRÉSTAMOS!$D:$D,PRÉSTAMOS!V:V)=0,"",_xlfn.XLOOKUP($A33,PRÉSTAMOS!$D:$D,PRÉSTAMOS!V:V))</f>
        <v/>
      </c>
      <c r="N33" s="125" t="str">
        <f>+IF(_xlfn.XLOOKUP($A33,PRÉSTAMOS!$D:$D,PRÉSTAMOS!W:W)=0,"",_xlfn.XLOOKUP($A33,PRÉSTAMOS!$D:$D,PRÉSTAMOS!W:W))</f>
        <v/>
      </c>
      <c r="O33" s="125" t="str">
        <f>+IF(_xlfn.XLOOKUP($A33,PRÉSTAMOS!$D:$D,PRÉSTAMOS!X:X)=0,"",_xlfn.XLOOKUP($A33,PRÉSTAMOS!$D:$D,PRÉSTAMOS!X:X))</f>
        <v/>
      </c>
      <c r="R33" t="str">
        <f ca="1">+IF(Contratos[[#This Row],[JURIDICO]]=1,"PROCESO JURIDICO",IF(I33&lt;TODAY(),"VENCIDO","ACTIVO"))</f>
        <v>VENCIDO</v>
      </c>
    </row>
    <row r="34" spans="1:18" x14ac:dyDescent="0.25">
      <c r="A34">
        <v>448</v>
      </c>
      <c r="B34">
        <f>+_xlfn.XLOOKUP($A34,PRÉSTAMOS!$D:$D,PRÉSTAMOS!B:B)</f>
        <v>7521602</v>
      </c>
      <c r="C34" s="126">
        <f>+_xlfn.XLOOKUP($A34,PRÉSTAMOS!$D:$D,PRÉSTAMOS!K:K)</f>
        <v>242000</v>
      </c>
      <c r="D34" s="126" cm="1">
        <f t="array" ref="D34">+ValorProyectado_Aritmetico(C34,0.13,3)</f>
        <v>1836380</v>
      </c>
      <c r="E34" t="str" cm="1">
        <f t="array" ref="E34">+CONVERTIRNUM(D34)</f>
        <v>Un Millón Ochocientos Treinta y Seis Mil Trescientos Ochenta Pesos</v>
      </c>
      <c r="F34" s="126" cm="1">
        <f t="array" ref="F34">+Honorarios(D34,0.13)</f>
        <v>238729.4</v>
      </c>
      <c r="G34" s="127">
        <f>+_xlfn.XLOOKUP($A34,PRÉSTAMOS!$D:$D,PRÉSTAMOS!P:P)/100</f>
        <v>0.13</v>
      </c>
      <c r="H34" s="132">
        <v>45000</v>
      </c>
      <c r="I34" s="132">
        <f>+DATE(YEAR(Contratos[[#This Row],[FECHA DESEMBOLSO]]),MONTH(Contratos[[#This Row],[FECHA DESEMBOLSO]])+3,DAY(Contratos[[#This Row],[FECHA DESEMBOLSO]]))</f>
        <v>45092</v>
      </c>
      <c r="J34" t="str">
        <f>+_xlfn.XLOOKUP($A34,PRÉSTAMOS!$D:$D,PRÉSTAMOS!S:S)</f>
        <v>Préstamo</v>
      </c>
      <c r="K34" s="126">
        <f>+IFERROR(_xlfn.XLOOKUP(Contratos[[#This Row],[No. CONTRATO]],CajaTotal[REFERENCIA],CajaTotal[DEBITO]),0)</f>
        <v>0</v>
      </c>
      <c r="L34" s="125" t="str" cm="1">
        <f t="array" ref="L34">+IFERROR(MAX(_xlfn._xlws.FILTER(CajaTotal[FECHA],CajaTotal[REFERENCIA]=Contratos[[#This Row],[No. CONTRATO]])),"")</f>
        <v/>
      </c>
      <c r="M34" t="str">
        <f>+IF(_xlfn.XLOOKUP($A34,PRÉSTAMOS!$D:$D,PRÉSTAMOS!V:V)=0,"",_xlfn.XLOOKUP($A34,PRÉSTAMOS!$D:$D,PRÉSTAMOS!V:V))</f>
        <v/>
      </c>
      <c r="N34" s="125" t="str">
        <f>+IF(_xlfn.XLOOKUP($A34,PRÉSTAMOS!$D:$D,PRÉSTAMOS!W:W)=0,"",_xlfn.XLOOKUP($A34,PRÉSTAMOS!$D:$D,PRÉSTAMOS!W:W))</f>
        <v/>
      </c>
      <c r="O34" s="125" t="str">
        <f>+IF(_xlfn.XLOOKUP($A34,PRÉSTAMOS!$D:$D,PRÉSTAMOS!X:X)=0,"",_xlfn.XLOOKUP($A34,PRÉSTAMOS!$D:$D,PRÉSTAMOS!X:X))</f>
        <v/>
      </c>
      <c r="R34" t="str">
        <f ca="1">+IF(Contratos[[#This Row],[JURIDICO]]=1,"PROCESO JURIDICO",IF(I34&lt;TODAY(),"VENCIDO","ACTIVO"))</f>
        <v>VENCIDO</v>
      </c>
    </row>
    <row r="35" spans="1:18" x14ac:dyDescent="0.25">
      <c r="A35">
        <v>449</v>
      </c>
      <c r="B35">
        <f>+_xlfn.XLOOKUP($A35,PRÉSTAMOS!$D:$D,PRÉSTAMOS!B:B)</f>
        <v>1088353324</v>
      </c>
      <c r="C35" s="126">
        <f>+_xlfn.XLOOKUP($A35,PRÉSTAMOS!$D:$D,PRÉSTAMOS!K:K)</f>
        <v>1200000</v>
      </c>
      <c r="D35" s="126" cm="1">
        <f t="array" ref="D35">+ValorProyectado_Aritmetico(C35,0.13,3)</f>
        <v>3168000</v>
      </c>
      <c r="E35" t="str" cm="1">
        <f t="array" ref="E35">+CONVERTIRNUM(D35)</f>
        <v>Tres Millones Ciento Sesenta y Ocho Mil Pesos</v>
      </c>
      <c r="F35" s="126" cm="1">
        <f t="array" ref="F35">+Honorarios(D35,0.13)</f>
        <v>411840</v>
      </c>
      <c r="G35" s="127">
        <f>+_xlfn.XLOOKUP($A35,PRÉSTAMOS!$D:$D,PRÉSTAMOS!P:P)/100</f>
        <v>0.13</v>
      </c>
      <c r="H35" s="132">
        <v>45001</v>
      </c>
      <c r="I35" s="132">
        <f>+DATE(YEAR(Contratos[[#This Row],[FECHA DESEMBOLSO]]),MONTH(Contratos[[#This Row],[FECHA DESEMBOLSO]])+3,DAY(Contratos[[#This Row],[FECHA DESEMBOLSO]]))</f>
        <v>45093</v>
      </c>
      <c r="J35" t="str">
        <f>+_xlfn.XLOOKUP($A35,PRÉSTAMOS!$D:$D,PRÉSTAMOS!S:S)</f>
        <v>Préstamo</v>
      </c>
      <c r="K35" s="126">
        <f>+IFERROR(_xlfn.XLOOKUP(Contratos[[#This Row],[No. CONTRATO]],CajaTotal[REFERENCIA],CajaTotal[DEBITO]),0)</f>
        <v>0</v>
      </c>
      <c r="L35" s="125" t="str" cm="1">
        <f t="array" ref="L35">+IFERROR(MAX(_xlfn._xlws.FILTER(CajaTotal[FECHA],CajaTotal[REFERENCIA]=Contratos[[#This Row],[No. CONTRATO]])),"")</f>
        <v/>
      </c>
      <c r="M35" t="str">
        <f>+IF(_xlfn.XLOOKUP($A35,PRÉSTAMOS!$D:$D,PRÉSTAMOS!V:V)=0,"",_xlfn.XLOOKUP($A35,PRÉSTAMOS!$D:$D,PRÉSTAMOS!V:V))</f>
        <v/>
      </c>
      <c r="N35" s="125" t="str">
        <f>+IF(_xlfn.XLOOKUP($A35,PRÉSTAMOS!$D:$D,PRÉSTAMOS!W:W)=0,"",_xlfn.XLOOKUP($A35,PRÉSTAMOS!$D:$D,PRÉSTAMOS!W:W))</f>
        <v/>
      </c>
      <c r="O35" s="125" t="str">
        <f>+IF(_xlfn.XLOOKUP($A35,PRÉSTAMOS!$D:$D,PRÉSTAMOS!X:X)=0,"",_xlfn.XLOOKUP($A35,PRÉSTAMOS!$D:$D,PRÉSTAMOS!X:X))</f>
        <v/>
      </c>
      <c r="R35" t="str">
        <f ca="1">+IF(Contratos[[#This Row],[JURIDICO]]=1,"PROCESO JURIDICO",IF(I35&lt;TODAY(),"VENCIDO","ACTIVO"))</f>
        <v>VENCIDO</v>
      </c>
    </row>
    <row r="36" spans="1:18" hidden="1" x14ac:dyDescent="0.25">
      <c r="A36">
        <v>450</v>
      </c>
      <c r="B36">
        <f>+_xlfn.XLOOKUP($A36,PRÉSTAMOS!$D:$D,PRÉSTAMOS!B:B)</f>
        <v>4730425</v>
      </c>
      <c r="C36" s="126">
        <f>+_xlfn.XLOOKUP($A36,PRÉSTAMOS!$D:$D,PRÉSTAMOS!K:K)</f>
        <v>1000000</v>
      </c>
      <c r="D36" s="126" cm="1">
        <f t="array" ref="D36">+ValorProyectado_Aritmetico(C36,0.13,3)</f>
        <v>2890000</v>
      </c>
      <c r="E36" t="str" cm="1">
        <f t="array" ref="E36">+CONVERTIRNUM(D36)</f>
        <v>Dos Millones Ochocientos Noventa Mil Pesos</v>
      </c>
      <c r="F36" s="126" cm="1">
        <f t="array" ref="F36">+Honorarios(D36,0.13)</f>
        <v>375700</v>
      </c>
      <c r="G36" s="127">
        <f>+_xlfn.XLOOKUP($A36,PRÉSTAMOS!$D:$D,PRÉSTAMOS!P:P)/100</f>
        <v>0.13</v>
      </c>
      <c r="H36" s="132">
        <v>45002</v>
      </c>
      <c r="I36" s="132">
        <f>+DATE(YEAR(Contratos[[#This Row],[FECHA DESEMBOLSO]]),MONTH(Contratos[[#This Row],[FECHA DESEMBOLSO]])+3,DAY(Contratos[[#This Row],[FECHA DESEMBOLSO]]))</f>
        <v>45094</v>
      </c>
      <c r="J36" t="str">
        <f>+_xlfn.XLOOKUP($A36,PRÉSTAMOS!$D:$D,PRÉSTAMOS!S:S)</f>
        <v>Adelanto</v>
      </c>
      <c r="K36" s="126">
        <f>+IFERROR(_xlfn.XLOOKUP(Contratos[[#This Row],[No. CONTRATO]],CajaTotal[REFERENCIA],CajaTotal[DEBITO]),0)</f>
        <v>0</v>
      </c>
      <c r="L36" s="125" t="str" cm="1">
        <f t="array" ref="L36">+IFERROR(MAX(_xlfn._xlws.FILTER(CajaTotal[FECHA],CajaTotal[REFERENCIA]=Contratos[[#This Row],[No. CONTRATO]])),"")</f>
        <v/>
      </c>
      <c r="M36" t="str">
        <f>+IF(_xlfn.XLOOKUP($A36,PRÉSTAMOS!$D:$D,PRÉSTAMOS!V:V)=0,"",_xlfn.XLOOKUP($A36,PRÉSTAMOS!$D:$D,PRÉSTAMOS!V:V))</f>
        <v>PAGO TOTAL</v>
      </c>
      <c r="N36" s="125">
        <f>+IF(_xlfn.XLOOKUP($A36,PRÉSTAMOS!$D:$D,PRÉSTAMOS!W:W)=0,"",_xlfn.XLOOKUP($A36,PRÉSTAMOS!$D:$D,PRÉSTAMOS!W:W))</f>
        <v>45009</v>
      </c>
      <c r="O36" s="125" t="str">
        <f>+IF(_xlfn.XLOOKUP($A36,PRÉSTAMOS!$D:$D,PRÉSTAMOS!X:X)=0,"",_xlfn.XLOOKUP($A36,PRÉSTAMOS!$D:$D,PRÉSTAMOS!X:X))</f>
        <v/>
      </c>
      <c r="R36" t="str">
        <f ca="1">+IF(Contratos[[#This Row],[JURIDICO]]=1,"PROCESO JURIDICO",IF(I36&lt;TODAY(),"VENCIDO","ACTIVO"))</f>
        <v>VENCIDO</v>
      </c>
    </row>
    <row r="37" spans="1:18" hidden="1" x14ac:dyDescent="0.25">
      <c r="A37">
        <v>451</v>
      </c>
      <c r="B37">
        <f>+_xlfn.XLOOKUP($A37,PRÉSTAMOS!$D:$D,PRÉSTAMOS!B:B)</f>
        <v>10060779</v>
      </c>
      <c r="C37" s="126">
        <f>+_xlfn.XLOOKUP($A37,PRÉSTAMOS!$D:$D,PRÉSTAMOS!K:K)</f>
        <v>200000</v>
      </c>
      <c r="D37" s="126" cm="1">
        <f t="array" ref="D37">+ValorProyectado_Aritmetico(C37,0.13,3)</f>
        <v>1778000</v>
      </c>
      <c r="E37" t="str" cm="1">
        <f t="array" ref="E37">+CONVERTIRNUM(D37)</f>
        <v>Un Millón Setecientos Setenta y Ocho Mil Pesos</v>
      </c>
      <c r="F37" s="126" cm="1">
        <f t="array" ref="F37">+Honorarios(D37,0.13)</f>
        <v>231140</v>
      </c>
      <c r="G37" s="127">
        <f>+_xlfn.XLOOKUP($A37,PRÉSTAMOS!$D:$D,PRÉSTAMOS!P:P)/100</f>
        <v>0.13</v>
      </c>
      <c r="H37" s="132">
        <v>45002</v>
      </c>
      <c r="I37" s="132">
        <f>+DATE(YEAR(Contratos[[#This Row],[FECHA DESEMBOLSO]]),MONTH(Contratos[[#This Row],[FECHA DESEMBOLSO]])+3,DAY(Contratos[[#This Row],[FECHA DESEMBOLSO]]))</f>
        <v>45094</v>
      </c>
      <c r="J37" t="str">
        <f>+_xlfn.XLOOKUP($A37,PRÉSTAMOS!$D:$D,PRÉSTAMOS!S:S)</f>
        <v>Adelanto</v>
      </c>
      <c r="K37" s="126">
        <f>+IFERROR(_xlfn.XLOOKUP(Contratos[[#This Row],[No. CONTRATO]],CajaTotal[REFERENCIA],CajaTotal[DEBITO]),0)</f>
        <v>0</v>
      </c>
      <c r="L37" s="125" t="str" cm="1">
        <f t="array" ref="L37">+IFERROR(MAX(_xlfn._xlws.FILTER(CajaTotal[FECHA],CajaTotal[REFERENCIA]=Contratos[[#This Row],[No. CONTRATO]])),"")</f>
        <v/>
      </c>
      <c r="M37" t="str">
        <f>+IF(_xlfn.XLOOKUP($A37,PRÉSTAMOS!$D:$D,PRÉSTAMOS!V:V)=0,"",_xlfn.XLOOKUP($A37,PRÉSTAMOS!$D:$D,PRÉSTAMOS!V:V))</f>
        <v>PAGO TOTAL</v>
      </c>
      <c r="N37" s="125">
        <f>+IF(_xlfn.XLOOKUP($A37,PRÉSTAMOS!$D:$D,PRÉSTAMOS!W:W)=0,"",_xlfn.XLOOKUP($A37,PRÉSTAMOS!$D:$D,PRÉSTAMOS!W:W))</f>
        <v>45015</v>
      </c>
      <c r="O37" s="125" t="str">
        <f>+IF(_xlfn.XLOOKUP($A37,PRÉSTAMOS!$D:$D,PRÉSTAMOS!X:X)=0,"",_xlfn.XLOOKUP($A37,PRÉSTAMOS!$D:$D,PRÉSTAMOS!X:X))</f>
        <v/>
      </c>
      <c r="R37" t="str">
        <f ca="1">+IF(Contratos[[#This Row],[JURIDICO]]=1,"PROCESO JURIDICO",IF(I37&lt;TODAY(),"VENCIDO","ACTIVO"))</f>
        <v>VENCIDO</v>
      </c>
    </row>
    <row r="38" spans="1:18" hidden="1" x14ac:dyDescent="0.25">
      <c r="A38">
        <v>452</v>
      </c>
      <c r="B38">
        <f>+_xlfn.XLOOKUP($A38,PRÉSTAMOS!$D:$D,PRÉSTAMOS!B:B)</f>
        <v>22196486</v>
      </c>
      <c r="C38" s="126">
        <f>+_xlfn.XLOOKUP($A38,PRÉSTAMOS!$D:$D,PRÉSTAMOS!K:K)</f>
        <v>500000</v>
      </c>
      <c r="D38" s="126" cm="1">
        <f t="array" ref="D38">+ValorProyectado_Aritmetico(C38,0.13,3)</f>
        <v>2195000</v>
      </c>
      <c r="E38" t="str" cm="1">
        <f t="array" ref="E38">+CONVERTIRNUM(D38)</f>
        <v>Dos Millones Ciento Noventa y Cinco Mil Pesos</v>
      </c>
      <c r="F38" s="126" cm="1">
        <f t="array" ref="F38">+Honorarios(D38,0.13)</f>
        <v>285350</v>
      </c>
      <c r="G38" s="127">
        <f>+_xlfn.XLOOKUP($A38,PRÉSTAMOS!$D:$D,PRÉSTAMOS!P:P)/100</f>
        <v>0.13</v>
      </c>
      <c r="H38" s="132">
        <v>45002</v>
      </c>
      <c r="I38" s="132">
        <f>+DATE(YEAR(Contratos[[#This Row],[FECHA DESEMBOLSO]]),MONTH(Contratos[[#This Row],[FECHA DESEMBOLSO]])+3,DAY(Contratos[[#This Row],[FECHA DESEMBOLSO]]))</f>
        <v>45094</v>
      </c>
      <c r="J38" t="str">
        <f>+_xlfn.XLOOKUP($A38,PRÉSTAMOS!$D:$D,PRÉSTAMOS!S:S)</f>
        <v>Adelanto</v>
      </c>
      <c r="K38" s="126">
        <f>+IFERROR(_xlfn.XLOOKUP(Contratos[[#This Row],[No. CONTRATO]],CajaTotal[REFERENCIA],CajaTotal[DEBITO]),0)</f>
        <v>0</v>
      </c>
      <c r="L38" s="125" t="str" cm="1">
        <f t="array" ref="L38">+IFERROR(MAX(_xlfn._xlws.FILTER(CajaTotal[FECHA],CajaTotal[REFERENCIA]=Contratos[[#This Row],[No. CONTRATO]])),"")</f>
        <v/>
      </c>
      <c r="M38" t="str">
        <f>+IF(_xlfn.XLOOKUP($A38,PRÉSTAMOS!$D:$D,PRÉSTAMOS!V:V)=0,"",_xlfn.XLOOKUP($A38,PRÉSTAMOS!$D:$D,PRÉSTAMOS!V:V))</f>
        <v>PAGO TOTAL</v>
      </c>
      <c r="N38" s="125">
        <f>+IF(_xlfn.XLOOKUP($A38,PRÉSTAMOS!$D:$D,PRÉSTAMOS!W:W)=0,"",_xlfn.XLOOKUP($A38,PRÉSTAMOS!$D:$D,PRÉSTAMOS!W:W))</f>
        <v>45009</v>
      </c>
      <c r="O38" s="125" t="str">
        <f>+IF(_xlfn.XLOOKUP($A38,PRÉSTAMOS!$D:$D,PRÉSTAMOS!X:X)=0,"",_xlfn.XLOOKUP($A38,PRÉSTAMOS!$D:$D,PRÉSTAMOS!X:X))</f>
        <v/>
      </c>
      <c r="R38" t="str">
        <f ca="1">+IF(Contratos[[#This Row],[JURIDICO]]=1,"PROCESO JURIDICO",IF(I38&lt;TODAY(),"VENCIDO","ACTIVO"))</f>
        <v>VENCIDO</v>
      </c>
    </row>
    <row r="39" spans="1:18" x14ac:dyDescent="0.25">
      <c r="A39">
        <v>453</v>
      </c>
      <c r="B39">
        <f>+_xlfn.XLOOKUP($A39,PRÉSTAMOS!$D:$D,PRÉSTAMOS!B:B)</f>
        <v>6285978</v>
      </c>
      <c r="C39" s="126">
        <f>+_xlfn.XLOOKUP($A39,PRÉSTAMOS!$D:$D,PRÉSTAMOS!K:K)</f>
        <v>500000</v>
      </c>
      <c r="D39" s="126" cm="1">
        <f t="array" ref="D39">+ValorProyectado_Aritmetico(C39,0.13,3)</f>
        <v>2195000</v>
      </c>
      <c r="E39" t="str" cm="1">
        <f t="array" ref="E39">+CONVERTIRNUM(D39)</f>
        <v>Dos Millones Ciento Noventa y Cinco Mil Pesos</v>
      </c>
      <c r="F39" s="126" cm="1">
        <f t="array" ref="F39">+Honorarios(D39,0.13)</f>
        <v>285350</v>
      </c>
      <c r="G39" s="127">
        <f>+_xlfn.XLOOKUP($A39,PRÉSTAMOS!$D:$D,PRÉSTAMOS!P:P)/100</f>
        <v>0.13</v>
      </c>
      <c r="H39" s="132">
        <v>45003</v>
      </c>
      <c r="I39" s="132">
        <f>+DATE(YEAR(Contratos[[#This Row],[FECHA DESEMBOLSO]]),MONTH(Contratos[[#This Row],[FECHA DESEMBOLSO]])+3,DAY(Contratos[[#This Row],[FECHA DESEMBOLSO]]))</f>
        <v>45095</v>
      </c>
      <c r="J39" t="str">
        <f>+_xlfn.XLOOKUP($A39,PRÉSTAMOS!$D:$D,PRÉSTAMOS!S:S)</f>
        <v>Adelanto</v>
      </c>
      <c r="K39" s="126">
        <f>+IFERROR(_xlfn.XLOOKUP(Contratos[[#This Row],[No. CONTRATO]],CajaTotal[REFERENCIA],CajaTotal[DEBITO]),0)</f>
        <v>150000</v>
      </c>
      <c r="L39" s="125" cm="1">
        <f t="array" ref="L39">+IFERROR(MAX(_xlfn._xlws.FILTER(CajaTotal[FECHA],CajaTotal[REFERENCIA]=Contratos[[#This Row],[No. CONTRATO]])),"")</f>
        <v>45111</v>
      </c>
      <c r="M39" t="str">
        <f>+IF(_xlfn.XLOOKUP($A39,PRÉSTAMOS!$D:$D,PRÉSTAMOS!V:V)=0,"",_xlfn.XLOOKUP($A39,PRÉSTAMOS!$D:$D,PRÉSTAMOS!V:V))</f>
        <v/>
      </c>
      <c r="N39" s="125" t="str">
        <f>+IF(_xlfn.XLOOKUP($A39,PRÉSTAMOS!$D:$D,PRÉSTAMOS!W:W)=0,"",_xlfn.XLOOKUP($A39,PRÉSTAMOS!$D:$D,PRÉSTAMOS!W:W))</f>
        <v/>
      </c>
      <c r="O39" s="125" t="str">
        <f>+IF(_xlfn.XLOOKUP($A39,PRÉSTAMOS!$D:$D,PRÉSTAMOS!X:X)=0,"",_xlfn.XLOOKUP($A39,PRÉSTAMOS!$D:$D,PRÉSTAMOS!X:X))</f>
        <v/>
      </c>
      <c r="R39" t="str">
        <f ca="1">+IF(Contratos[[#This Row],[JURIDICO]]=1,"PROCESO JURIDICO",IF(I39&lt;TODAY(),"VENCIDO","ACTIVO"))</f>
        <v>VENCIDO</v>
      </c>
    </row>
    <row r="40" spans="1:18" x14ac:dyDescent="0.25">
      <c r="A40">
        <v>509</v>
      </c>
      <c r="B40">
        <f>+_xlfn.XLOOKUP($A40,PRÉSTAMOS!$D:$D,PRÉSTAMOS!B:B)</f>
        <v>1087994842</v>
      </c>
      <c r="C40" s="126">
        <f>+_xlfn.XLOOKUP($A40,PRÉSTAMOS!$D:$D,PRÉSTAMOS!K:K)</f>
        <v>4560000</v>
      </c>
      <c r="D40" s="126" cm="1">
        <f t="array" ref="D40">+ValorProyectado_Aritmetico(C40,0.13,3)</f>
        <v>7838400</v>
      </c>
      <c r="E40" t="str" cm="1">
        <f t="array" ref="E40">+CONVERTIRNUM(D40)</f>
        <v>Siete Millones Ochocientos Treinta y Ocho Mil Cuatrocientos Pesos</v>
      </c>
      <c r="F40" s="126" cm="1">
        <f t="array" ref="F40">+Honorarios(D40,0.13)</f>
        <v>1018992</v>
      </c>
      <c r="G40" s="127">
        <f>+_xlfn.XLOOKUP($A40,PRÉSTAMOS!$D:$D,PRÉSTAMOS!P:P)/100</f>
        <v>0.13</v>
      </c>
      <c r="H40" s="132">
        <v>45209</v>
      </c>
      <c r="I40" s="132">
        <f>+DATE(YEAR(Contratos[[#This Row],[FECHA DESEMBOLSO]]),MONTH(Contratos[[#This Row],[FECHA DESEMBOLSO]])+3,DAY(Contratos[[#This Row],[FECHA DESEMBOLSO]]))</f>
        <v>45301</v>
      </c>
      <c r="J40" t="str">
        <f>+_xlfn.XLOOKUP($A40,PRÉSTAMOS!$D:$D,PRÉSTAMOS!S:S)</f>
        <v>Adelanto</v>
      </c>
      <c r="K40" s="126">
        <f>+IFERROR(_xlfn.XLOOKUP(Contratos[[#This Row],[No. CONTRATO]],CajaTotal[REFERENCIA],CajaTotal[DEBITO]),0)</f>
        <v>0</v>
      </c>
      <c r="L40" s="125" t="str" cm="1">
        <f t="array" ref="L40">+IFERROR(MAX(_xlfn._xlws.FILTER(CajaTotal[FECHA],CajaTotal[REFERENCIA]=Contratos[[#This Row],[No. CONTRATO]])),"")</f>
        <v/>
      </c>
      <c r="M40" t="str">
        <f>+IF(_xlfn.XLOOKUP($A40,PRÉSTAMOS!$D:$D,PRÉSTAMOS!V:V)=0,"",_xlfn.XLOOKUP($A40,PRÉSTAMOS!$D:$D,PRÉSTAMOS!V:V))</f>
        <v/>
      </c>
      <c r="N40" s="125" t="str">
        <f>+IF(_xlfn.XLOOKUP($A40,PRÉSTAMOS!$D:$D,PRÉSTAMOS!W:W)=0,"",_xlfn.XLOOKUP($A40,PRÉSTAMOS!$D:$D,PRÉSTAMOS!W:W))</f>
        <v/>
      </c>
      <c r="O40" s="125" t="str">
        <f>+IF(_xlfn.XLOOKUP($A40,PRÉSTAMOS!$D:$D,PRÉSTAMOS!X:X)=0,"",_xlfn.XLOOKUP($A40,PRÉSTAMOS!$D:$D,PRÉSTAMOS!X:X))</f>
        <v/>
      </c>
      <c r="R40" t="str">
        <f ca="1">+IF(Contratos[[#This Row],[JURIDICO]]=1,"PROCESO JURIDICO",IF(I40&lt;TODAY(),"VENCIDO","ACTIVO"))</f>
        <v>ACTIVO</v>
      </c>
    </row>
    <row r="41" spans="1:18" x14ac:dyDescent="0.25">
      <c r="A41">
        <v>454</v>
      </c>
      <c r="B41">
        <f>+_xlfn.XLOOKUP($A41,PRÉSTAMOS!$D:$D,PRÉSTAMOS!B:B)</f>
        <v>10122618</v>
      </c>
      <c r="C41" s="126">
        <f>+_xlfn.XLOOKUP($A41,PRÉSTAMOS!$D:$D,PRÉSTAMOS!K:K)</f>
        <v>100000</v>
      </c>
      <c r="D41" s="126" cm="1">
        <f t="array" ref="D41">+ValorProyectado_Aritmetico(C41,0.13,3)</f>
        <v>1639000</v>
      </c>
      <c r="E41" t="str" cm="1">
        <f t="array" ref="E41">+CONVERTIRNUM(D41)</f>
        <v>Un Millón Seiscientos Treinta y Nueve Mil Pesos</v>
      </c>
      <c r="F41" s="126" cm="1">
        <f t="array" ref="F41">+Honorarios(D41,0.13)</f>
        <v>213070</v>
      </c>
      <c r="G41" s="127">
        <f>+_xlfn.XLOOKUP($A41,PRÉSTAMOS!$D:$D,PRÉSTAMOS!P:P)/100</f>
        <v>0</v>
      </c>
      <c r="H41" s="132"/>
      <c r="I41" s="132"/>
      <c r="J41">
        <f>+_xlfn.XLOOKUP($A41,PRÉSTAMOS!$D:$D,PRÉSTAMOS!S:S)</f>
        <v>0</v>
      </c>
      <c r="K41" s="126">
        <f>+IFERROR(_xlfn.XLOOKUP(Contratos[[#This Row],[No. CONTRATO]],CajaTotal[REFERENCIA],CajaTotal[DEBITO]),0)</f>
        <v>0</v>
      </c>
      <c r="L41" s="125" t="str" cm="1">
        <f t="array" ref="L41">+IFERROR(MAX(_xlfn._xlws.FILTER(CajaTotal[FECHA],CajaTotal[REFERENCIA]=Contratos[[#This Row],[No. CONTRATO]])),"")</f>
        <v/>
      </c>
      <c r="M41" t="str">
        <f>+IF(_xlfn.XLOOKUP($A41,PRÉSTAMOS!$D:$D,PRÉSTAMOS!V:V)=0,"",_xlfn.XLOOKUP($A41,PRÉSTAMOS!$D:$D,PRÉSTAMOS!V:V))</f>
        <v/>
      </c>
      <c r="N41" s="125" t="str">
        <f>+IF(_xlfn.XLOOKUP($A41,PRÉSTAMOS!$D:$D,PRÉSTAMOS!W:W)=0,"",_xlfn.XLOOKUP($A41,PRÉSTAMOS!$D:$D,PRÉSTAMOS!W:W))</f>
        <v/>
      </c>
      <c r="O41" s="125" t="str">
        <f>+IF(_xlfn.XLOOKUP($A41,PRÉSTAMOS!$D:$D,PRÉSTAMOS!X:X)=0,"",_xlfn.XLOOKUP($A41,PRÉSTAMOS!$D:$D,PRÉSTAMOS!X:X))</f>
        <v/>
      </c>
      <c r="R41" t="str">
        <f ca="1">+IF(Contratos[[#This Row],[JURIDICO]]=1,"PROCESO JURIDICO",IF(I41&lt;TODAY(),"VENCIDO","ACTIVO"))</f>
        <v>VENCIDO</v>
      </c>
    </row>
    <row r="42" spans="1:18" x14ac:dyDescent="0.25">
      <c r="A42">
        <v>455</v>
      </c>
      <c r="B42">
        <f>+_xlfn.XLOOKUP($A42,PRÉSTAMOS!$D:$D,PRÉSTAMOS!B:B)</f>
        <v>7521602</v>
      </c>
      <c r="C42" s="126">
        <f>+_xlfn.XLOOKUP($A42,PRÉSTAMOS!$D:$D,PRÉSTAMOS!K:K)</f>
        <v>400000</v>
      </c>
      <c r="D42" s="126" cm="1">
        <f t="array" ref="D42">+ValorProyectado_Aritmetico(C42,0.13,3)</f>
        <v>2056000</v>
      </c>
      <c r="E42" t="str" cm="1">
        <f t="array" ref="E42">+CONVERTIRNUM(D42)</f>
        <v>Dos Millones Cincuenta y Seis Mil Pesos</v>
      </c>
      <c r="F42" s="126" cm="1">
        <f t="array" ref="F42">+Honorarios(D42,0.13)</f>
        <v>267280</v>
      </c>
      <c r="G42" s="127">
        <f>+_xlfn.XLOOKUP($A42,PRÉSTAMOS!$D:$D,PRÉSTAMOS!P:P)/100</f>
        <v>0.13</v>
      </c>
      <c r="H42" s="132">
        <v>45013</v>
      </c>
      <c r="I42" s="132">
        <f>+DATE(YEAR(Contratos[[#This Row],[FECHA DESEMBOLSO]]),MONTH(Contratos[[#This Row],[FECHA DESEMBOLSO]])+3,DAY(Contratos[[#This Row],[FECHA DESEMBOLSO]]))</f>
        <v>45105</v>
      </c>
      <c r="J42" t="str">
        <f>+_xlfn.XLOOKUP($A42,PRÉSTAMOS!$D:$D,PRÉSTAMOS!S:S)</f>
        <v>Adelanto</v>
      </c>
      <c r="K42" s="126">
        <f>+IFERROR(_xlfn.XLOOKUP(Contratos[[#This Row],[No. CONTRATO]],CajaTotal[REFERENCIA],CajaTotal[DEBITO]),0)</f>
        <v>0</v>
      </c>
      <c r="L42" s="125" t="str" cm="1">
        <f t="array" ref="L42">+IFERROR(MAX(_xlfn._xlws.FILTER(CajaTotal[FECHA],CajaTotal[REFERENCIA]=Contratos[[#This Row],[No. CONTRATO]])),"")</f>
        <v/>
      </c>
      <c r="M42" t="str">
        <f>+IF(_xlfn.XLOOKUP($A42,PRÉSTAMOS!$D:$D,PRÉSTAMOS!V:V)=0,"",_xlfn.XLOOKUP($A42,PRÉSTAMOS!$D:$D,PRÉSTAMOS!V:V))</f>
        <v/>
      </c>
      <c r="N42" s="125" t="str">
        <f>+IF(_xlfn.XLOOKUP($A42,PRÉSTAMOS!$D:$D,PRÉSTAMOS!W:W)=0,"",_xlfn.XLOOKUP($A42,PRÉSTAMOS!$D:$D,PRÉSTAMOS!W:W))</f>
        <v/>
      </c>
      <c r="O42" s="125" t="str">
        <f>+IF(_xlfn.XLOOKUP($A42,PRÉSTAMOS!$D:$D,PRÉSTAMOS!X:X)=0,"",_xlfn.XLOOKUP($A42,PRÉSTAMOS!$D:$D,PRÉSTAMOS!X:X))</f>
        <v/>
      </c>
      <c r="R42" t="str">
        <f ca="1">+IF(Contratos[[#This Row],[JURIDICO]]=1,"PROCESO JURIDICO",IF(I42&lt;TODAY(),"VENCIDO","ACTIVO"))</f>
        <v>VENCIDO</v>
      </c>
    </row>
    <row r="43" spans="1:18" x14ac:dyDescent="0.25">
      <c r="A43">
        <v>456</v>
      </c>
      <c r="B43">
        <f>+_xlfn.XLOOKUP($A43,PRÉSTAMOS!$D:$D,PRÉSTAMOS!B:B)</f>
        <v>1037584477</v>
      </c>
      <c r="C43" s="126">
        <f>+_xlfn.XLOOKUP($A43,PRÉSTAMOS!$D:$D,PRÉSTAMOS!K:K)</f>
        <v>6000000</v>
      </c>
      <c r="D43" s="126" cm="1">
        <f t="array" ref="D43">+ValorProyectado_Aritmetico(C43,0.13,3)</f>
        <v>9840000</v>
      </c>
      <c r="E43" t="str" cm="1">
        <f t="array" ref="E43">+CONVERTIRNUM(D43)</f>
        <v>Nueve Millones Ochocientos Cuarenta Mil Pesos</v>
      </c>
      <c r="F43" s="126" cm="1">
        <f t="array" ref="F43">+Honorarios(D43,0.13)</f>
        <v>1279200</v>
      </c>
      <c r="G43" s="127">
        <f>+_xlfn.XLOOKUP($A43,PRÉSTAMOS!$D:$D,PRÉSTAMOS!P:P)/100</f>
        <v>0.13</v>
      </c>
      <c r="H43" s="132">
        <v>45013</v>
      </c>
      <c r="I43" s="132">
        <f>+DATE(YEAR(Contratos[[#This Row],[FECHA DESEMBOLSO]]),MONTH(Contratos[[#This Row],[FECHA DESEMBOLSO]])+3,DAY(Contratos[[#This Row],[FECHA DESEMBOLSO]]))</f>
        <v>45105</v>
      </c>
      <c r="J43" t="str">
        <f>+_xlfn.XLOOKUP($A43,PRÉSTAMOS!$D:$D,PRÉSTAMOS!S:S)</f>
        <v>Préstamo</v>
      </c>
      <c r="K43" s="126">
        <f>+IFERROR(_xlfn.XLOOKUP(Contratos[[#This Row],[No. CONTRATO]],CajaTotal[REFERENCIA],CajaTotal[DEBITO]),0)</f>
        <v>0</v>
      </c>
      <c r="L43" s="125" t="str" cm="1">
        <f t="array" ref="L43">+IFERROR(MAX(_xlfn._xlws.FILTER(CajaTotal[FECHA],CajaTotal[REFERENCIA]=Contratos[[#This Row],[No. CONTRATO]])),"")</f>
        <v/>
      </c>
      <c r="M43" t="str">
        <f>+IF(_xlfn.XLOOKUP($A43,PRÉSTAMOS!$D:$D,PRÉSTAMOS!V:V)=0,"",_xlfn.XLOOKUP($A43,PRÉSTAMOS!$D:$D,PRÉSTAMOS!V:V))</f>
        <v>PAGO TOTA.</v>
      </c>
      <c r="N43" s="125">
        <f>+IF(_xlfn.XLOOKUP($A43,PRÉSTAMOS!$D:$D,PRÉSTAMOS!W:W)=0,"",_xlfn.XLOOKUP($A43,PRÉSTAMOS!$D:$D,PRÉSTAMOS!W:W))</f>
        <v>45038</v>
      </c>
      <c r="O43" s="125" t="str">
        <f>+IF(_xlfn.XLOOKUP($A43,PRÉSTAMOS!$D:$D,PRÉSTAMOS!X:X)=0,"",_xlfn.XLOOKUP($A43,PRÉSTAMOS!$D:$D,PRÉSTAMOS!X:X))</f>
        <v>ALEJANDRO ALEMÁN</v>
      </c>
      <c r="R43" t="str">
        <f ca="1">+IF(Contratos[[#This Row],[JURIDICO]]=1,"PROCESO JURIDICO",IF(I43&lt;TODAY(),"VENCIDO","ACTIVO"))</f>
        <v>VENCIDO</v>
      </c>
    </row>
    <row r="44" spans="1:18" hidden="1" x14ac:dyDescent="0.25">
      <c r="A44">
        <v>457</v>
      </c>
      <c r="B44">
        <f>+_xlfn.XLOOKUP($A44,PRÉSTAMOS!$D:$D,PRÉSTAMOS!B:B)</f>
        <v>10071470</v>
      </c>
      <c r="C44" s="126">
        <f>+_xlfn.XLOOKUP($A44,PRÉSTAMOS!$D:$D,PRÉSTAMOS!K:K)</f>
        <v>4000000</v>
      </c>
      <c r="D44" s="126" cm="1">
        <f t="array" ref="D44">+ValorProyectado_Aritmetico(C44,0.13,3)</f>
        <v>7060000</v>
      </c>
      <c r="E44" t="str" cm="1">
        <f t="array" ref="E44">+CONVERTIRNUM(D44)</f>
        <v>Siete Millones Sesenta Mil Pesos</v>
      </c>
      <c r="F44" s="126" cm="1">
        <f t="array" ref="F44">+Honorarios(D44,0.13)</f>
        <v>917800</v>
      </c>
      <c r="G44" s="127">
        <f>+_xlfn.XLOOKUP($A44,PRÉSTAMOS!$D:$D,PRÉSTAMOS!P:P)/100</f>
        <v>0.13</v>
      </c>
      <c r="H44" s="132">
        <v>45015</v>
      </c>
      <c r="I44" s="132">
        <f>+DATE(YEAR(Contratos[[#This Row],[FECHA DESEMBOLSO]]),MONTH(Contratos[[#This Row],[FECHA DESEMBOLSO]])+3,DAY(Contratos[[#This Row],[FECHA DESEMBOLSO]]))</f>
        <v>45107</v>
      </c>
      <c r="J44" t="str">
        <f>+_xlfn.XLOOKUP($A44,PRÉSTAMOS!$D:$D,PRÉSTAMOS!S:S)</f>
        <v>Adelanto</v>
      </c>
      <c r="K44" s="126">
        <f>+IFERROR(_xlfn.XLOOKUP(Contratos[[#This Row],[No. CONTRATO]],CajaTotal[REFERENCIA],CajaTotal[DEBITO]),0)</f>
        <v>0</v>
      </c>
      <c r="L44" s="125" t="str" cm="1">
        <f t="array" ref="L44">+IFERROR(MAX(_xlfn._xlws.FILTER(CajaTotal[FECHA],CajaTotal[REFERENCIA]=Contratos[[#This Row],[No. CONTRATO]])),"")</f>
        <v/>
      </c>
      <c r="M44" t="str">
        <f>+IF(_xlfn.XLOOKUP($A44,PRÉSTAMOS!$D:$D,PRÉSTAMOS!V:V)=0,"",_xlfn.XLOOKUP($A44,PRÉSTAMOS!$D:$D,PRÉSTAMOS!V:V))</f>
        <v>PAGO TOTAL</v>
      </c>
      <c r="N44" s="125">
        <f>+IF(_xlfn.XLOOKUP($A44,PRÉSTAMOS!$D:$D,PRÉSTAMOS!W:W)=0,"",_xlfn.XLOOKUP($A44,PRÉSTAMOS!$D:$D,PRÉSTAMOS!W:W))</f>
        <v>45029</v>
      </c>
      <c r="O44" s="125" t="str">
        <f>+IF(_xlfn.XLOOKUP($A44,PRÉSTAMOS!$D:$D,PRÉSTAMOS!X:X)=0,"",_xlfn.XLOOKUP($A44,PRÉSTAMOS!$D:$D,PRÉSTAMOS!X:X))</f>
        <v/>
      </c>
      <c r="R44" t="str">
        <f ca="1">+IF(Contratos[[#This Row],[JURIDICO]]=1,"PROCESO JURIDICO",IF(I44&lt;TODAY(),"VENCIDO","ACTIVO"))</f>
        <v>VENCIDO</v>
      </c>
    </row>
    <row r="45" spans="1:18" hidden="1" x14ac:dyDescent="0.25">
      <c r="A45">
        <v>458</v>
      </c>
      <c r="B45">
        <f>+_xlfn.XLOOKUP($A45,PRÉSTAMOS!$D:$D,PRÉSTAMOS!B:B)</f>
        <v>94229441</v>
      </c>
      <c r="C45" s="126">
        <f>+_xlfn.XLOOKUP($A45,PRÉSTAMOS!$D:$D,PRÉSTAMOS!K:K)</f>
        <v>1000000</v>
      </c>
      <c r="D45" s="126" cm="1">
        <f t="array" ref="D45">+ValorProyectado_Aritmetico(C45,0.13,3)</f>
        <v>2890000</v>
      </c>
      <c r="E45" t="str" cm="1">
        <f t="array" ref="E45">+CONVERTIRNUM(D45)</f>
        <v>Dos Millones Ochocientos Noventa Mil Pesos</v>
      </c>
      <c r="F45" s="126" cm="1">
        <f t="array" ref="F45">+Honorarios(D45,0.13)</f>
        <v>375700</v>
      </c>
      <c r="G45" s="127">
        <f>+_xlfn.XLOOKUP($A45,PRÉSTAMOS!$D:$D,PRÉSTAMOS!P:P)/100</f>
        <v>0.13</v>
      </c>
      <c r="H45" s="132">
        <v>45016</v>
      </c>
      <c r="I45" s="132">
        <f>+DATE(YEAR(Contratos[[#This Row],[FECHA DESEMBOLSO]]),MONTH(Contratos[[#This Row],[FECHA DESEMBOLSO]])+3,DAY(Contratos[[#This Row],[FECHA DESEMBOLSO]]))</f>
        <v>45108</v>
      </c>
      <c r="J45" t="str">
        <f>+_xlfn.XLOOKUP($A45,PRÉSTAMOS!$D:$D,PRÉSTAMOS!S:S)</f>
        <v>Adelanto</v>
      </c>
      <c r="K45" s="126">
        <f>+IFERROR(_xlfn.XLOOKUP(Contratos[[#This Row],[No. CONTRATO]],CajaTotal[REFERENCIA],CajaTotal[DEBITO]),0)</f>
        <v>0</v>
      </c>
      <c r="L45" s="125" t="str" cm="1">
        <f t="array" ref="L45">+IFERROR(MAX(_xlfn._xlws.FILTER(CajaTotal[FECHA],CajaTotal[REFERENCIA]=Contratos[[#This Row],[No. CONTRATO]])),"")</f>
        <v/>
      </c>
      <c r="M45" t="str">
        <f>+IF(_xlfn.XLOOKUP($A45,PRÉSTAMOS!$D:$D,PRÉSTAMOS!V:V)=0,"",_xlfn.XLOOKUP($A45,PRÉSTAMOS!$D:$D,PRÉSTAMOS!V:V))</f>
        <v>pago total</v>
      </c>
      <c r="N45" s="125">
        <f>+IF(_xlfn.XLOOKUP($A45,PRÉSTAMOS!$D:$D,PRÉSTAMOS!W:W)=0,"",_xlfn.XLOOKUP($A45,PRÉSTAMOS!$D:$D,PRÉSTAMOS!W:W))</f>
        <v>45049</v>
      </c>
      <c r="O45" s="125" t="str">
        <f>+IF(_xlfn.XLOOKUP($A45,PRÉSTAMOS!$D:$D,PRÉSTAMOS!X:X)=0,"",_xlfn.XLOOKUP($A45,PRÉSTAMOS!$D:$D,PRÉSTAMOS!X:X))</f>
        <v/>
      </c>
      <c r="R45" t="str">
        <f ca="1">+IF(Contratos[[#This Row],[JURIDICO]]=1,"PROCESO JURIDICO",IF(I45&lt;TODAY(),"VENCIDO","ACTIVO"))</f>
        <v>VENCIDO</v>
      </c>
    </row>
    <row r="46" spans="1:18" hidden="1" x14ac:dyDescent="0.25">
      <c r="A46">
        <v>459</v>
      </c>
      <c r="B46">
        <f>+_xlfn.XLOOKUP($A46,PRÉSTAMOS!$D:$D,PRÉSTAMOS!B:B)</f>
        <v>42090888</v>
      </c>
      <c r="C46" s="126">
        <f>+_xlfn.XLOOKUP($A46,PRÉSTAMOS!$D:$D,PRÉSTAMOS!K:K)</f>
        <v>350000</v>
      </c>
      <c r="D46" s="126" cm="1">
        <f t="array" ref="D46">+ValorProyectado_Aritmetico(C46,0.13,3)</f>
        <v>1986500</v>
      </c>
      <c r="E46" t="str" cm="1">
        <f t="array" ref="E46">+CONVERTIRNUM(D46)</f>
        <v>Un Millón Novecientos Ochenta y Seis Mil Quinientos Pesos</v>
      </c>
      <c r="F46" s="126" cm="1">
        <f t="array" ref="F46">+Honorarios(D46,0.13)</f>
        <v>258245</v>
      </c>
      <c r="G46" s="127">
        <f>+_xlfn.XLOOKUP($A46,PRÉSTAMOS!$D:$D,PRÉSTAMOS!P:P)/100</f>
        <v>0.13</v>
      </c>
      <c r="H46" s="132">
        <v>45016</v>
      </c>
      <c r="I46" s="132">
        <f>+DATE(YEAR(Contratos[[#This Row],[FECHA DESEMBOLSO]]),MONTH(Contratos[[#This Row],[FECHA DESEMBOLSO]])+3,DAY(Contratos[[#This Row],[FECHA DESEMBOLSO]]))</f>
        <v>45108</v>
      </c>
      <c r="J46" t="str">
        <f>+_xlfn.XLOOKUP($A46,PRÉSTAMOS!$D:$D,PRÉSTAMOS!S:S)</f>
        <v>Adelanto</v>
      </c>
      <c r="K46" s="126">
        <f>+IFERROR(_xlfn.XLOOKUP(Contratos[[#This Row],[No. CONTRATO]],CajaTotal[REFERENCIA],CajaTotal[DEBITO]),0)</f>
        <v>0</v>
      </c>
      <c r="L46" s="125" t="str" cm="1">
        <f t="array" ref="L46">+IFERROR(MAX(_xlfn._xlws.FILTER(CajaTotal[FECHA],CajaTotal[REFERENCIA]=Contratos[[#This Row],[No. CONTRATO]])),"")</f>
        <v/>
      </c>
      <c r="M46" t="str">
        <f>+IF(_xlfn.XLOOKUP($A46,PRÉSTAMOS!$D:$D,PRÉSTAMOS!V:V)=0,"",_xlfn.XLOOKUP($A46,PRÉSTAMOS!$D:$D,PRÉSTAMOS!V:V))</f>
        <v>pago total</v>
      </c>
      <c r="N46" s="125">
        <f>+IF(_xlfn.XLOOKUP($A46,PRÉSTAMOS!$D:$D,PRÉSTAMOS!W:W)=0,"",_xlfn.XLOOKUP($A46,PRÉSTAMOS!$D:$D,PRÉSTAMOS!W:W))</f>
        <v>45050</v>
      </c>
      <c r="O46" s="125" t="str">
        <f>+IF(_xlfn.XLOOKUP($A46,PRÉSTAMOS!$D:$D,PRÉSTAMOS!X:X)=0,"",_xlfn.XLOOKUP($A46,PRÉSTAMOS!$D:$D,PRÉSTAMOS!X:X))</f>
        <v/>
      </c>
      <c r="R46" t="str">
        <f ca="1">+IF(Contratos[[#This Row],[JURIDICO]]=1,"PROCESO JURIDICO",IF(I46&lt;TODAY(),"VENCIDO","ACTIVO"))</f>
        <v>VENCIDO</v>
      </c>
    </row>
    <row r="47" spans="1:18" x14ac:dyDescent="0.25">
      <c r="A47">
        <v>510</v>
      </c>
      <c r="B47">
        <f>+_xlfn.XLOOKUP($A47,PRÉSTAMOS!$D:$D,PRÉSTAMOS!B:B)</f>
        <v>1107083239</v>
      </c>
      <c r="C47" s="126">
        <f>+_xlfn.XLOOKUP($A47,PRÉSTAMOS!$D:$D,PRÉSTAMOS!K:K)</f>
        <v>2000000</v>
      </c>
      <c r="D47" s="126" cm="1">
        <f t="array" ref="D47">+ValorProyectado_Aritmetico(C47,0.13,3)</f>
        <v>4280000</v>
      </c>
      <c r="E47" t="str" cm="1">
        <f t="array" ref="E47">+CONVERTIRNUM(D47)</f>
        <v>Cuatro Millones Doscientos Ochenta Mil Pesos</v>
      </c>
      <c r="F47" s="126" cm="1">
        <f t="array" ref="F47">+Honorarios(D47,0.13)</f>
        <v>556400</v>
      </c>
      <c r="G47" s="127">
        <f>+_xlfn.XLOOKUP($A47,PRÉSTAMOS!$D:$D,PRÉSTAMOS!P:P)/100</f>
        <v>0.13</v>
      </c>
      <c r="H47" s="132">
        <v>45050</v>
      </c>
      <c r="I47" s="132">
        <f>+DATE(YEAR(Contratos[[#This Row],[FECHA DESEMBOLSO]]),MONTH(Contratos[[#This Row],[FECHA DESEMBOLSO]])+3,DAY(Contratos[[#This Row],[FECHA DESEMBOLSO]]))</f>
        <v>45142</v>
      </c>
      <c r="J47" t="str">
        <f>+_xlfn.XLOOKUP($A47,PRÉSTAMOS!$D:$D,PRÉSTAMOS!S:S)</f>
        <v>Préstamo</v>
      </c>
      <c r="K47" s="126">
        <f>+IFERROR(_xlfn.XLOOKUP(Contratos[[#This Row],[No. CONTRATO]],CajaTotal[REFERENCIA],CajaTotal[DEBITO]),0)</f>
        <v>350000</v>
      </c>
      <c r="L47" s="125" cm="1">
        <f t="array" ref="L47">+IFERROR(MAX(_xlfn._xlws.FILTER(CajaTotal[FECHA],CajaTotal[REFERENCIA]=Contratos[[#This Row],[No. CONTRATO]])),"")</f>
        <v>45153</v>
      </c>
      <c r="M47" t="str">
        <f>+IF(_xlfn.XLOOKUP($A47,PRÉSTAMOS!$D:$D,PRÉSTAMOS!V:V)=0,"",_xlfn.XLOOKUP($A47,PRÉSTAMOS!$D:$D,PRÉSTAMOS!V:V))</f>
        <v>cuota 1</v>
      </c>
      <c r="N47" s="125" t="str">
        <f>+IF(_xlfn.XLOOKUP($A47,PRÉSTAMOS!$D:$D,PRÉSTAMOS!W:W)=0,"",_xlfn.XLOOKUP($A47,PRÉSTAMOS!$D:$D,PRÉSTAMOS!W:W))</f>
        <v/>
      </c>
      <c r="O47" s="125" t="str">
        <f>+IF(_xlfn.XLOOKUP($A47,PRÉSTAMOS!$D:$D,PRÉSTAMOS!X:X)=0,"",_xlfn.XLOOKUP($A47,PRÉSTAMOS!$D:$D,PRÉSTAMOS!X:X))</f>
        <v/>
      </c>
      <c r="P47" t="s">
        <v>964</v>
      </c>
      <c r="Q47">
        <v>29063030</v>
      </c>
      <c r="R47" t="str">
        <f ca="1">+IF(Contratos[[#This Row],[JURIDICO]]=1,"PROCESO JURIDICO",IF(I47&lt;TODAY(),"VENCIDO","ACTIVO"))</f>
        <v>VENCIDO</v>
      </c>
    </row>
    <row r="48" spans="1:18" x14ac:dyDescent="0.25">
      <c r="A48">
        <v>511</v>
      </c>
      <c r="B48">
        <f>+_xlfn.XLOOKUP($A48,PRÉSTAMOS!$D:$D,PRÉSTAMOS!B:B)</f>
        <v>29063030</v>
      </c>
      <c r="C48" s="126">
        <f>+_xlfn.XLOOKUP($A48,PRÉSTAMOS!$D:$D,PRÉSTAMOS!K:K)</f>
        <v>2000000</v>
      </c>
      <c r="D48" s="126" cm="1">
        <f t="array" ref="D48">+ValorProyectado_Aritmetico(C48,0.13,3)</f>
        <v>4280000</v>
      </c>
      <c r="E48" t="str" cm="1">
        <f t="array" ref="E48">+CONVERTIRNUM(D48)</f>
        <v>Cuatro Millones Doscientos Ochenta Mil Pesos</v>
      </c>
      <c r="F48" s="126" cm="1">
        <f t="array" ref="F48">+Honorarios(D48,0.13)</f>
        <v>556400</v>
      </c>
      <c r="G48" s="127">
        <f>+_xlfn.XLOOKUP($A48,PRÉSTAMOS!$D:$D,PRÉSTAMOS!P:P)/100</f>
        <v>0.13</v>
      </c>
      <c r="H48" s="132">
        <v>45019</v>
      </c>
      <c r="I48" s="132">
        <f>+DATE(YEAR(Contratos[[#This Row],[FECHA DESEMBOLSO]]),MONTH(Contratos[[#This Row],[FECHA DESEMBOLSO]])+3,DAY(Contratos[[#This Row],[FECHA DESEMBOLSO]]))</f>
        <v>45110</v>
      </c>
      <c r="J48" t="str">
        <f>+_xlfn.XLOOKUP($A48,PRÉSTAMOS!$D:$D,PRÉSTAMOS!S:S)</f>
        <v>Préstamo</v>
      </c>
      <c r="K48" s="126">
        <f>+IFERROR(_xlfn.XLOOKUP(Contratos[[#This Row],[No. CONTRATO]],CajaTotal[REFERENCIA],CajaTotal[DEBITO]),0)</f>
        <v>0</v>
      </c>
      <c r="L48" s="125" t="str" cm="1">
        <f t="array" ref="L48">+IFERROR(MAX(_xlfn._xlws.FILTER(CajaTotal[FECHA],CajaTotal[REFERENCIA]=Contratos[[#This Row],[No. CONTRATO]])),"")</f>
        <v/>
      </c>
      <c r="M48" t="str">
        <f>+IF(_xlfn.XLOOKUP($A48,PRÉSTAMOS!$D:$D,PRÉSTAMOS!V:V)=0,"",_xlfn.XLOOKUP($A48,PRÉSTAMOS!$D:$D,PRÉSTAMOS!V:V))</f>
        <v/>
      </c>
      <c r="N48" s="125" t="str">
        <f>+IF(_xlfn.XLOOKUP($A48,PRÉSTAMOS!$D:$D,PRÉSTAMOS!W:W)=0,"",_xlfn.XLOOKUP($A48,PRÉSTAMOS!$D:$D,PRÉSTAMOS!W:W))</f>
        <v/>
      </c>
      <c r="O48" s="125" t="str">
        <f>+IF(_xlfn.XLOOKUP($A48,PRÉSTAMOS!$D:$D,PRÉSTAMOS!X:X)=0,"",_xlfn.XLOOKUP($A48,PRÉSTAMOS!$D:$D,PRÉSTAMOS!X:X))</f>
        <v/>
      </c>
      <c r="R48" t="str">
        <f ca="1">+IF(Contratos[[#This Row],[JURIDICO]]=1,"PROCESO JURIDICO",IF(I48&lt;TODAY(),"VENCIDO","ACTIVO"))</f>
        <v>VENCIDO</v>
      </c>
    </row>
    <row r="49" spans="1:18" hidden="1" x14ac:dyDescent="0.25">
      <c r="A49">
        <v>461</v>
      </c>
      <c r="B49">
        <f>+_xlfn.XLOOKUP($A49,PRÉSTAMOS!$D:$D,PRÉSTAMOS!B:B)</f>
        <v>10081308</v>
      </c>
      <c r="C49" s="126">
        <f>+_xlfn.XLOOKUP($A49,PRÉSTAMOS!$D:$D,PRÉSTAMOS!K:K)</f>
        <v>5000000</v>
      </c>
      <c r="D49" s="126" cm="1">
        <f t="array" ref="D49">+ValorProyectado_Aritmetico(C49,0.13,3)</f>
        <v>8450000</v>
      </c>
      <c r="E49" t="str" cm="1">
        <f t="array" ref="E49">+CONVERTIRNUM(D49)</f>
        <v>Ocho Millones Cuatrocientos Cincuenta Mil Pesos</v>
      </c>
      <c r="F49" s="126" cm="1">
        <f t="array" ref="F49">+Honorarios(D49,0.13)</f>
        <v>1098500</v>
      </c>
      <c r="G49" s="127">
        <f>+_xlfn.XLOOKUP($A49,PRÉSTAMOS!$D:$D,PRÉSTAMOS!P:P)/100</f>
        <v>0.13</v>
      </c>
      <c r="H49" s="132">
        <v>45019</v>
      </c>
      <c r="I49" s="132">
        <f>+DATE(YEAR(Contratos[[#This Row],[FECHA DESEMBOLSO]]),MONTH(Contratos[[#This Row],[FECHA DESEMBOLSO]])+3,DAY(Contratos[[#This Row],[FECHA DESEMBOLSO]]))</f>
        <v>45110</v>
      </c>
      <c r="J49" t="str">
        <f>+_xlfn.XLOOKUP($A49,PRÉSTAMOS!$D:$D,PRÉSTAMOS!S:S)</f>
        <v>Adelanto</v>
      </c>
      <c r="K49" s="126">
        <f>+IFERROR(_xlfn.XLOOKUP(Contratos[[#This Row],[No. CONTRATO]],CajaTotal[REFERENCIA],CajaTotal[DEBITO]),0)</f>
        <v>0</v>
      </c>
      <c r="L49" s="125" t="str" cm="1">
        <f t="array" ref="L49">+IFERROR(MAX(_xlfn._xlws.FILTER(CajaTotal[FECHA],CajaTotal[REFERENCIA]=Contratos[[#This Row],[No. CONTRATO]])),"")</f>
        <v/>
      </c>
      <c r="M49" t="str">
        <f>+IF(_xlfn.XLOOKUP($A49,PRÉSTAMOS!$D:$D,PRÉSTAMOS!V:V)=0,"",_xlfn.XLOOKUP($A49,PRÉSTAMOS!$D:$D,PRÉSTAMOS!V:V))</f>
        <v>PAGO TOTAL</v>
      </c>
      <c r="N49" s="125">
        <f>+IF(_xlfn.XLOOKUP($A49,PRÉSTAMOS!$D:$D,PRÉSTAMOS!W:W)=0,"",_xlfn.XLOOKUP($A49,PRÉSTAMOS!$D:$D,PRÉSTAMOS!W:W))</f>
        <v>45048</v>
      </c>
      <c r="O49" s="125" t="str">
        <f>+IF(_xlfn.XLOOKUP($A49,PRÉSTAMOS!$D:$D,PRÉSTAMOS!X:X)=0,"",_xlfn.XLOOKUP($A49,PRÉSTAMOS!$D:$D,PRÉSTAMOS!X:X))</f>
        <v>JULIÁN RENDÓN 4%</v>
      </c>
      <c r="R49" t="str">
        <f ca="1">+IF(Contratos[[#This Row],[JURIDICO]]=1,"PROCESO JURIDICO",IF(I49&lt;TODAY(),"VENCIDO","ACTIVO"))</f>
        <v>VENCIDO</v>
      </c>
    </row>
    <row r="50" spans="1:18" x14ac:dyDescent="0.25">
      <c r="A50">
        <v>416</v>
      </c>
      <c r="B50">
        <f>+_xlfn.XLOOKUP($A50,PRÉSTAMOS!$D:$D,PRÉSTAMOS!B:B)</f>
        <v>22196486</v>
      </c>
      <c r="C50" s="126">
        <f>+_xlfn.XLOOKUP($A50,PRÉSTAMOS!$D:$D,PRÉSTAMOS!K:K)</f>
        <v>6000000</v>
      </c>
      <c r="D50" s="126" cm="1">
        <f t="array" ref="D50">+ValorProyectado_Aritmetico(C50,0.13,3)</f>
        <v>9840000</v>
      </c>
      <c r="E50" t="str" cm="1">
        <f t="array" ref="E50">+CONVERTIRNUM(D50)</f>
        <v>Nueve Millones Ochocientos Cuarenta Mil Pesos</v>
      </c>
      <c r="F50" s="126" cm="1">
        <f t="array" ref="F50">+Honorarios(D50,0.13)</f>
        <v>1279200</v>
      </c>
      <c r="G50" s="127">
        <f>+_xlfn.XLOOKUP($A50,PRÉSTAMOS!$D:$D,PRÉSTAMOS!P:P)/100</f>
        <v>0.13</v>
      </c>
      <c r="H50" s="132">
        <v>45033</v>
      </c>
      <c r="I50" s="132">
        <f>+DATE(YEAR(Contratos[[#This Row],[FECHA DESEMBOLSO]]),MONTH(Contratos[[#This Row],[FECHA DESEMBOLSO]])+3,DAY(Contratos[[#This Row],[FECHA DESEMBOLSO]]))</f>
        <v>45124</v>
      </c>
      <c r="J50" t="str">
        <f>+_xlfn.XLOOKUP($A50,PRÉSTAMOS!$D:$D,PRÉSTAMOS!S:S)</f>
        <v>Adelanto</v>
      </c>
      <c r="K50" s="126">
        <f>+IFERROR(_xlfn.XLOOKUP(Contratos[[#This Row],[No. CONTRATO]],CajaTotal[REFERENCIA],CajaTotal[DEBITO]),0)</f>
        <v>0</v>
      </c>
      <c r="L50" s="125" t="str" cm="1">
        <f t="array" ref="L50">+IFERROR(MAX(_xlfn._xlws.FILTER(CajaTotal[FECHA],CajaTotal[REFERENCIA]=Contratos[[#This Row],[No. CONTRATO]])),"")</f>
        <v/>
      </c>
      <c r="M50" t="str">
        <f>+IF(_xlfn.XLOOKUP($A50,PRÉSTAMOS!$D:$D,PRÉSTAMOS!V:V)=0,"",_xlfn.XLOOKUP($A50,PRÉSTAMOS!$D:$D,PRÉSTAMOS!V:V))</f>
        <v/>
      </c>
      <c r="N50" s="125" t="str">
        <f>+IF(_xlfn.XLOOKUP($A50,PRÉSTAMOS!$D:$D,PRÉSTAMOS!W:W)=0,"",_xlfn.XLOOKUP($A50,PRÉSTAMOS!$D:$D,PRÉSTAMOS!W:W))</f>
        <v/>
      </c>
      <c r="O50" s="125" t="str">
        <f>+IF(_xlfn.XLOOKUP($A50,PRÉSTAMOS!$D:$D,PRÉSTAMOS!X:X)=0,"",_xlfn.XLOOKUP($A50,PRÉSTAMOS!$D:$D,PRÉSTAMOS!X:X))</f>
        <v/>
      </c>
      <c r="R50" t="str">
        <f ca="1">+IF(Contratos[[#This Row],[JURIDICO]]=1,"PROCESO JURIDICO",IF(I50&lt;TODAY(),"VENCIDO","ACTIVO"))</f>
        <v>VENCIDO</v>
      </c>
    </row>
    <row r="51" spans="1:18" x14ac:dyDescent="0.25">
      <c r="A51">
        <v>462</v>
      </c>
      <c r="B51">
        <f>+_xlfn.XLOOKUP($A51,PRÉSTAMOS!$D:$D,PRÉSTAMOS!B:B)</f>
        <v>10532530</v>
      </c>
      <c r="C51" s="126">
        <f>+_xlfn.XLOOKUP($A51,PRÉSTAMOS!$D:$D,PRÉSTAMOS!K:K)</f>
        <v>400000</v>
      </c>
      <c r="D51" s="126" cm="1">
        <f t="array" ref="D51">+ValorProyectado_Aritmetico(C51,0.13,3)</f>
        <v>2056000</v>
      </c>
      <c r="E51" t="str" cm="1">
        <f t="array" ref="E51">+CONVERTIRNUM(D51)</f>
        <v>Dos Millones Cincuenta y Seis Mil Pesos</v>
      </c>
      <c r="F51" s="126" cm="1">
        <f t="array" ref="F51">+Honorarios(D51,0.13)</f>
        <v>267280</v>
      </c>
      <c r="G51" s="127">
        <f>+_xlfn.XLOOKUP($A51,PRÉSTAMOS!$D:$D,PRÉSTAMOS!P:P)/100</f>
        <v>0.13</v>
      </c>
      <c r="H51" s="132">
        <v>45034</v>
      </c>
      <c r="I51" s="132">
        <f>+DATE(YEAR(Contratos[[#This Row],[FECHA DESEMBOLSO]]),MONTH(Contratos[[#This Row],[FECHA DESEMBOLSO]])+3,DAY(Contratos[[#This Row],[FECHA DESEMBOLSO]]))</f>
        <v>45125</v>
      </c>
      <c r="J51" t="str">
        <f>+_xlfn.XLOOKUP($A51,PRÉSTAMOS!$D:$D,PRÉSTAMOS!S:S)</f>
        <v>Adelanto</v>
      </c>
      <c r="K51" s="126">
        <f>+IFERROR(_xlfn.XLOOKUP(Contratos[[#This Row],[No. CONTRATO]],CajaTotal[REFERENCIA],CajaTotal[DEBITO]),0)</f>
        <v>0</v>
      </c>
      <c r="L51" s="125" t="str" cm="1">
        <f t="array" ref="L51">+IFERROR(MAX(_xlfn._xlws.FILTER(CajaTotal[FECHA],CajaTotal[REFERENCIA]=Contratos[[#This Row],[No. CONTRATO]])),"")</f>
        <v/>
      </c>
      <c r="M51" t="str">
        <f>+IF(_xlfn.XLOOKUP($A51,PRÉSTAMOS!$D:$D,PRÉSTAMOS!V:V)=0,"",_xlfn.XLOOKUP($A51,PRÉSTAMOS!$D:$D,PRÉSTAMOS!V:V))</f>
        <v/>
      </c>
      <c r="N51" s="125" t="str">
        <f>+IF(_xlfn.XLOOKUP($A51,PRÉSTAMOS!$D:$D,PRÉSTAMOS!W:W)=0,"",_xlfn.XLOOKUP($A51,PRÉSTAMOS!$D:$D,PRÉSTAMOS!W:W))</f>
        <v/>
      </c>
      <c r="O51" s="125" t="str">
        <f>+IF(_xlfn.XLOOKUP($A51,PRÉSTAMOS!$D:$D,PRÉSTAMOS!X:X)=0,"",_xlfn.XLOOKUP($A51,PRÉSTAMOS!$D:$D,PRÉSTAMOS!X:X))</f>
        <v/>
      </c>
      <c r="R51" t="str">
        <f ca="1">+IF(Contratos[[#This Row],[JURIDICO]]=1,"PROCESO JURIDICO",IF(I51&lt;TODAY(),"VENCIDO","ACTIVO"))</f>
        <v>VENCIDO</v>
      </c>
    </row>
    <row r="52" spans="1:18" hidden="1" x14ac:dyDescent="0.25">
      <c r="A52">
        <v>463</v>
      </c>
      <c r="B52">
        <f>+_xlfn.XLOOKUP($A52,PRÉSTAMOS!$D:$D,PRÉSTAMOS!B:B)</f>
        <v>29770801</v>
      </c>
      <c r="C52" s="126">
        <f>+_xlfn.XLOOKUP($A52,PRÉSTAMOS!$D:$D,PRÉSTAMOS!K:K)</f>
        <v>2000000</v>
      </c>
      <c r="D52" s="126" cm="1">
        <f t="array" ref="D52">+ValorProyectado_Aritmetico(C52,0.13,3)</f>
        <v>4280000</v>
      </c>
      <c r="E52" t="str" cm="1">
        <f t="array" ref="E52">+CONVERTIRNUM(D52)</f>
        <v>Cuatro Millones Doscientos Ochenta Mil Pesos</v>
      </c>
      <c r="F52" s="126" cm="1">
        <f t="array" ref="F52">+Honorarios(D52,0.13)</f>
        <v>556400</v>
      </c>
      <c r="G52" s="127">
        <f>+_xlfn.XLOOKUP($A52,PRÉSTAMOS!$D:$D,PRÉSTAMOS!P:P)/100</f>
        <v>0.13</v>
      </c>
      <c r="H52" s="132">
        <v>45034</v>
      </c>
      <c r="I52" s="132">
        <f>+DATE(YEAR(Contratos[[#This Row],[FECHA DESEMBOLSO]]),MONTH(Contratos[[#This Row],[FECHA DESEMBOLSO]])+3,DAY(Contratos[[#This Row],[FECHA DESEMBOLSO]]))</f>
        <v>45125</v>
      </c>
      <c r="J52" t="str">
        <f>+_xlfn.XLOOKUP($A52,PRÉSTAMOS!$D:$D,PRÉSTAMOS!S:S)</f>
        <v>Adelanto</v>
      </c>
      <c r="K52" s="126">
        <f>+IFERROR(_xlfn.XLOOKUP(Contratos[[#This Row],[No. CONTRATO]],CajaTotal[REFERENCIA],CajaTotal[DEBITO]),0)</f>
        <v>0</v>
      </c>
      <c r="L52" s="125" t="str" cm="1">
        <f t="array" ref="L52">+IFERROR(MAX(_xlfn._xlws.FILTER(CajaTotal[FECHA],CajaTotal[REFERENCIA]=Contratos[[#This Row],[No. CONTRATO]])),"")</f>
        <v/>
      </c>
      <c r="M52" t="str">
        <f>+IF(_xlfn.XLOOKUP($A52,PRÉSTAMOS!$D:$D,PRÉSTAMOS!V:V)=0,"",_xlfn.XLOOKUP($A52,PRÉSTAMOS!$D:$D,PRÉSTAMOS!V:V))</f>
        <v>PAGO TOTAL</v>
      </c>
      <c r="N52" s="125">
        <f>+IF(_xlfn.XLOOKUP($A52,PRÉSTAMOS!$D:$D,PRÉSTAMOS!W:W)=0,"",_xlfn.XLOOKUP($A52,PRÉSTAMOS!$D:$D,PRÉSTAMOS!W:W))</f>
        <v>45090</v>
      </c>
      <c r="O52" s="125" t="str">
        <f>+IF(_xlfn.XLOOKUP($A52,PRÉSTAMOS!$D:$D,PRÉSTAMOS!X:X)=0,"",_xlfn.XLOOKUP($A52,PRÉSTAMOS!$D:$D,PRÉSTAMOS!X:X))</f>
        <v/>
      </c>
      <c r="R52" t="str">
        <f ca="1">+IF(Contratos[[#This Row],[JURIDICO]]=1,"PROCESO JURIDICO",IF(I52&lt;TODAY(),"VENCIDO","ACTIVO"))</f>
        <v>VENCIDO</v>
      </c>
    </row>
    <row r="53" spans="1:18" x14ac:dyDescent="0.25">
      <c r="A53">
        <v>464</v>
      </c>
      <c r="B53">
        <f>+_xlfn.XLOOKUP($A53,PRÉSTAMOS!$D:$D,PRÉSTAMOS!B:B)</f>
        <v>7521602</v>
      </c>
      <c r="C53" s="126">
        <f>+_xlfn.XLOOKUP($A53,PRÉSTAMOS!$D:$D,PRÉSTAMOS!K:K)</f>
        <v>100000</v>
      </c>
      <c r="D53" s="126" cm="1">
        <f t="array" ref="D53">+ValorProyectado_Aritmetico(C53,0.13,3)</f>
        <v>1639000</v>
      </c>
      <c r="E53" t="str" cm="1">
        <f t="array" ref="E53">+CONVERTIRNUM(D53)</f>
        <v>Un Millón Seiscientos Treinta y Nueve Mil Pesos</v>
      </c>
      <c r="F53" s="126" cm="1">
        <f t="array" ref="F53">+Honorarios(D53,0.13)</f>
        <v>213070</v>
      </c>
      <c r="G53" s="127">
        <f>+_xlfn.XLOOKUP($A53,PRÉSTAMOS!$D:$D,PRÉSTAMOS!P:P)/100</f>
        <v>0.13</v>
      </c>
      <c r="H53" s="132">
        <v>45035</v>
      </c>
      <c r="I53" s="132">
        <f>+DATE(YEAR(Contratos[[#This Row],[FECHA DESEMBOLSO]]),MONTH(Contratos[[#This Row],[FECHA DESEMBOLSO]])+3,DAY(Contratos[[#This Row],[FECHA DESEMBOLSO]]))</f>
        <v>45126</v>
      </c>
      <c r="J53" t="str">
        <f>+_xlfn.XLOOKUP($A53,PRÉSTAMOS!$D:$D,PRÉSTAMOS!S:S)</f>
        <v>Adelanto</v>
      </c>
      <c r="K53" s="126">
        <f>+IFERROR(_xlfn.XLOOKUP(Contratos[[#This Row],[No. CONTRATO]],CajaTotal[REFERENCIA],CajaTotal[DEBITO]),0)</f>
        <v>0</v>
      </c>
      <c r="L53" s="125" t="str" cm="1">
        <f t="array" ref="L53">+IFERROR(MAX(_xlfn._xlws.FILTER(CajaTotal[FECHA],CajaTotal[REFERENCIA]=Contratos[[#This Row],[No. CONTRATO]])),"")</f>
        <v/>
      </c>
      <c r="M53" t="str">
        <f>+IF(_xlfn.XLOOKUP($A53,PRÉSTAMOS!$D:$D,PRÉSTAMOS!V:V)=0,"",_xlfn.XLOOKUP($A53,PRÉSTAMOS!$D:$D,PRÉSTAMOS!V:V))</f>
        <v/>
      </c>
      <c r="N53" s="125" t="str">
        <f>+IF(_xlfn.XLOOKUP($A53,PRÉSTAMOS!$D:$D,PRÉSTAMOS!W:W)=0,"",_xlfn.XLOOKUP($A53,PRÉSTAMOS!$D:$D,PRÉSTAMOS!W:W))</f>
        <v/>
      </c>
      <c r="O53" s="125" t="str">
        <f>+IF(_xlfn.XLOOKUP($A53,PRÉSTAMOS!$D:$D,PRÉSTAMOS!X:X)=0,"",_xlfn.XLOOKUP($A53,PRÉSTAMOS!$D:$D,PRÉSTAMOS!X:X))</f>
        <v/>
      </c>
      <c r="R53" t="str">
        <f ca="1">+IF(Contratos[[#This Row],[JURIDICO]]=1,"PROCESO JURIDICO",IF(I53&lt;TODAY(),"VENCIDO","ACTIVO"))</f>
        <v>VENCIDO</v>
      </c>
    </row>
    <row r="54" spans="1:18" hidden="1" x14ac:dyDescent="0.25">
      <c r="A54">
        <v>465</v>
      </c>
      <c r="B54">
        <f>+_xlfn.XLOOKUP($A54,PRÉSTAMOS!$D:$D,PRÉSTAMOS!B:B)</f>
        <v>1414863</v>
      </c>
      <c r="C54" s="126">
        <f>+_xlfn.XLOOKUP($A54,PRÉSTAMOS!$D:$D,PRÉSTAMOS!K:K)</f>
        <v>500000</v>
      </c>
      <c r="D54" s="126" cm="1">
        <f t="array" ref="D54">+ValorProyectado_Aritmetico(C54,0.13,3)</f>
        <v>2195000</v>
      </c>
      <c r="E54" t="str" cm="1">
        <f t="array" ref="E54">+CONVERTIRNUM(D54)</f>
        <v>Dos Millones Ciento Noventa y Cinco Mil Pesos</v>
      </c>
      <c r="F54" s="126" cm="1">
        <f t="array" ref="F54">+Honorarios(D54,0.13)</f>
        <v>285350</v>
      </c>
      <c r="G54" s="127">
        <f>+_xlfn.XLOOKUP($A54,PRÉSTAMOS!$D:$D,PRÉSTAMOS!P:P)/100</f>
        <v>0.13</v>
      </c>
      <c r="H54" s="132">
        <v>45037</v>
      </c>
      <c r="I54" s="132">
        <f>+DATE(YEAR(Contratos[[#This Row],[FECHA DESEMBOLSO]]),MONTH(Contratos[[#This Row],[FECHA DESEMBOLSO]])+3,DAY(Contratos[[#This Row],[FECHA DESEMBOLSO]]))</f>
        <v>45128</v>
      </c>
      <c r="J54" t="str">
        <f>+_xlfn.XLOOKUP($A54,PRÉSTAMOS!$D:$D,PRÉSTAMOS!S:S)</f>
        <v>Adelanto</v>
      </c>
      <c r="K54" s="126">
        <f>+IFERROR(_xlfn.XLOOKUP(Contratos[[#This Row],[No. CONTRATO]],CajaTotal[REFERENCIA],CajaTotal[DEBITO]),0)</f>
        <v>0</v>
      </c>
      <c r="L54" s="125" t="str" cm="1">
        <f t="array" ref="L54">+IFERROR(MAX(_xlfn._xlws.FILTER(CajaTotal[FECHA],CajaTotal[REFERENCIA]=Contratos[[#This Row],[No. CONTRATO]])),"")</f>
        <v/>
      </c>
      <c r="M54" t="str">
        <f>+IF(_xlfn.XLOOKUP($A54,PRÉSTAMOS!$D:$D,PRÉSTAMOS!V:V)=0,"",_xlfn.XLOOKUP($A54,PRÉSTAMOS!$D:$D,PRÉSTAMOS!V:V))</f>
        <v>pago total</v>
      </c>
      <c r="N54" s="125">
        <f>+IF(_xlfn.XLOOKUP($A54,PRÉSTAMOS!$D:$D,PRÉSTAMOS!W:W)=0,"",_xlfn.XLOOKUP($A54,PRÉSTAMOS!$D:$D,PRÉSTAMOS!W:W))</f>
        <v>45106</v>
      </c>
      <c r="O54" s="125" t="str">
        <f>+IF(_xlfn.XLOOKUP($A54,PRÉSTAMOS!$D:$D,PRÉSTAMOS!X:X)=0,"",_xlfn.XLOOKUP($A54,PRÉSTAMOS!$D:$D,PRÉSTAMOS!X:X))</f>
        <v/>
      </c>
      <c r="R54" t="str">
        <f ca="1">+IF(Contratos[[#This Row],[JURIDICO]]=1,"PROCESO JURIDICO",IF(I54&lt;TODAY(),"VENCIDO","ACTIVO"))</f>
        <v>VENCIDO</v>
      </c>
    </row>
    <row r="55" spans="1:18" x14ac:dyDescent="0.25">
      <c r="A55">
        <v>466</v>
      </c>
      <c r="B55">
        <f>+_xlfn.XLOOKUP($A55,PRÉSTAMOS!$D:$D,PRÉSTAMOS!B:B)</f>
        <v>94463760</v>
      </c>
      <c r="C55" s="126">
        <f>+_xlfn.XLOOKUP($A55,PRÉSTAMOS!$D:$D,PRÉSTAMOS!K:K)</f>
        <v>20000000</v>
      </c>
      <c r="D55" s="126" cm="1">
        <f t="array" ref="D55">+ValorProyectado_Aritmetico(C55,0.13,3)</f>
        <v>29300000</v>
      </c>
      <c r="E55" t="str" cm="1">
        <f t="array" ref="E55">+CONVERTIRNUM(D55)</f>
        <v>Veintinueve Millones Trescientos Mil Pesos</v>
      </c>
      <c r="F55" s="126" cm="1">
        <f t="array" ref="F55">+Honorarios(D55,0.13)</f>
        <v>3809000</v>
      </c>
      <c r="G55" s="127">
        <f>+_xlfn.XLOOKUP($A55,PRÉSTAMOS!$D:$D,PRÉSTAMOS!P:P)/100</f>
        <v>0.15</v>
      </c>
      <c r="H55" s="132">
        <v>45040</v>
      </c>
      <c r="I55" s="132">
        <f>+DATE(YEAR(Contratos[[#This Row],[FECHA DESEMBOLSO]]),MONTH(Contratos[[#This Row],[FECHA DESEMBOLSO]])+3,DAY(Contratos[[#This Row],[FECHA DESEMBOLSO]]))</f>
        <v>45131</v>
      </c>
      <c r="J55" t="str">
        <f>+_xlfn.XLOOKUP($A55,PRÉSTAMOS!$D:$D,PRÉSTAMOS!S:S)</f>
        <v>Normalización</v>
      </c>
      <c r="K55" s="126">
        <f>+IFERROR(_xlfn.XLOOKUP(Contratos[[#This Row],[No. CONTRATO]],CajaTotal[REFERENCIA],CajaTotal[DEBITO]),0)</f>
        <v>0</v>
      </c>
      <c r="L55" s="125" t="str" cm="1">
        <f t="array" ref="L55">+IFERROR(MAX(_xlfn._xlws.FILTER(CajaTotal[FECHA],CajaTotal[REFERENCIA]=Contratos[[#This Row],[No. CONTRATO]])),"")</f>
        <v/>
      </c>
      <c r="M55" t="str">
        <f>+IF(_xlfn.XLOOKUP($A55,PRÉSTAMOS!$D:$D,PRÉSTAMOS!V:V)=0,"",_xlfn.XLOOKUP($A55,PRÉSTAMOS!$D:$D,PRÉSTAMOS!V:V))</f>
        <v/>
      </c>
      <c r="N55" s="125" t="str">
        <f>+IF(_xlfn.XLOOKUP($A55,PRÉSTAMOS!$D:$D,PRÉSTAMOS!W:W)=0,"",_xlfn.XLOOKUP($A55,PRÉSTAMOS!$D:$D,PRÉSTAMOS!W:W))</f>
        <v/>
      </c>
      <c r="O55" s="125" t="str">
        <f>+IF(_xlfn.XLOOKUP($A55,PRÉSTAMOS!$D:$D,PRÉSTAMOS!X:X)=0,"",_xlfn.XLOOKUP($A55,PRÉSTAMOS!$D:$D,PRÉSTAMOS!X:X))</f>
        <v>JULIÁN RENDÓN</v>
      </c>
      <c r="R55" t="str">
        <f ca="1">+IF(Contratos[[#This Row],[JURIDICO]]=1,"PROCESO JURIDICO",IF(I55&lt;TODAY(),"VENCIDO","ACTIVO"))</f>
        <v>VENCIDO</v>
      </c>
    </row>
    <row r="56" spans="1:18" x14ac:dyDescent="0.25">
      <c r="A56">
        <v>467</v>
      </c>
      <c r="B56">
        <f>+_xlfn.XLOOKUP($A56,PRÉSTAMOS!$D:$D,PRÉSTAMOS!B:B)</f>
        <v>1005094186</v>
      </c>
      <c r="C56" s="126">
        <f>+_xlfn.XLOOKUP($A56,PRÉSTAMOS!$D:$D,PRÉSTAMOS!K:K)</f>
        <v>3000000</v>
      </c>
      <c r="D56" s="126" cm="1">
        <f t="array" ref="D56">+ValorProyectado_Aritmetico(C56,0.13,3)</f>
        <v>5670000</v>
      </c>
      <c r="E56" t="str" cm="1">
        <f t="array" ref="E56">+CONVERTIRNUM(D56)</f>
        <v>Cinco Millones Seiscientos Setenta Mil Pesos</v>
      </c>
      <c r="F56" s="126" cm="1">
        <f t="array" ref="F56">+Honorarios(D56,0.13)</f>
        <v>737100</v>
      </c>
      <c r="G56" s="127">
        <f>+_xlfn.XLOOKUP($A56,PRÉSTAMOS!$D:$D,PRÉSTAMOS!P:P)/100</f>
        <v>6.5000000000000002E-2</v>
      </c>
      <c r="H56" s="132">
        <v>45040</v>
      </c>
      <c r="I56" s="132">
        <f>+DATE(YEAR(Contratos[[#This Row],[FECHA DESEMBOLSO]]),MONTH(Contratos[[#This Row],[FECHA DESEMBOLSO]])+3,DAY(Contratos[[#This Row],[FECHA DESEMBOLSO]]))</f>
        <v>45131</v>
      </c>
      <c r="J56" t="str">
        <f>+_xlfn.XLOOKUP($A56,PRÉSTAMOS!$D:$D,PRÉSTAMOS!S:S)</f>
        <v>Préstamo</v>
      </c>
      <c r="K56" s="126">
        <f>+IFERROR(_xlfn.XLOOKUP(Contratos[[#This Row],[No. CONTRATO]],CajaTotal[REFERENCIA],CajaTotal[DEBITO]),0)</f>
        <v>0</v>
      </c>
      <c r="L56" s="125" t="str" cm="1">
        <f t="array" ref="L56">+IFERROR(MAX(_xlfn._xlws.FILTER(CajaTotal[FECHA],CajaTotal[REFERENCIA]=Contratos[[#This Row],[No. CONTRATO]])),"")</f>
        <v/>
      </c>
      <c r="M56" t="str">
        <f>+IF(_xlfn.XLOOKUP($A56,PRÉSTAMOS!$D:$D,PRÉSTAMOS!V:V)=0,"",_xlfn.XLOOKUP($A56,PRÉSTAMOS!$D:$D,PRÉSTAMOS!V:V))</f>
        <v/>
      </c>
      <c r="N56" s="125" t="str">
        <f>+IF(_xlfn.XLOOKUP($A56,PRÉSTAMOS!$D:$D,PRÉSTAMOS!W:W)=0,"",_xlfn.XLOOKUP($A56,PRÉSTAMOS!$D:$D,PRÉSTAMOS!W:W))</f>
        <v/>
      </c>
      <c r="O56" s="125" t="str">
        <f>+IF(_xlfn.XLOOKUP($A56,PRÉSTAMOS!$D:$D,PRÉSTAMOS!X:X)=0,"",_xlfn.XLOOKUP($A56,PRÉSTAMOS!$D:$D,PRÉSTAMOS!X:X))</f>
        <v>JULIÁN RENDÓN</v>
      </c>
      <c r="R56" t="str">
        <f ca="1">+IF(Contratos[[#This Row],[JURIDICO]]=1,"PROCESO JURIDICO",IF(I56&lt;TODAY(),"VENCIDO","ACTIVO"))</f>
        <v>VENCIDO</v>
      </c>
    </row>
    <row r="57" spans="1:18" x14ac:dyDescent="0.25">
      <c r="A57">
        <v>468</v>
      </c>
      <c r="B57">
        <f>+_xlfn.XLOOKUP($A57,PRÉSTAMOS!$D:$D,PRÉSTAMOS!B:B)</f>
        <v>10135450</v>
      </c>
      <c r="C57" s="126">
        <f>+_xlfn.XLOOKUP($A57,PRÉSTAMOS!$D:$D,PRÉSTAMOS!K:K)</f>
        <v>3000000</v>
      </c>
      <c r="D57" s="126" cm="1">
        <f t="array" ref="D57">+ValorProyectado_Aritmetico(C57,0.13,3)</f>
        <v>5670000</v>
      </c>
      <c r="E57" t="str" cm="1">
        <f t="array" ref="E57">+CONVERTIRNUM(D57)</f>
        <v>Cinco Millones Seiscientos Setenta Mil Pesos</v>
      </c>
      <c r="F57" s="126" cm="1">
        <f t="array" ref="F57">+Honorarios(D57,0.13)</f>
        <v>737100</v>
      </c>
      <c r="G57" s="127">
        <f>+_xlfn.XLOOKUP($A57,PRÉSTAMOS!$D:$D,PRÉSTAMOS!P:P)/100</f>
        <v>6.5000000000000002E-2</v>
      </c>
      <c r="H57" s="132">
        <v>45040</v>
      </c>
      <c r="I57" s="132">
        <f>+DATE(YEAR(Contratos[[#This Row],[FECHA DESEMBOLSO]]),MONTH(Contratos[[#This Row],[FECHA DESEMBOLSO]])+3,DAY(Contratos[[#This Row],[FECHA DESEMBOLSO]]))</f>
        <v>45131</v>
      </c>
      <c r="J57" t="str">
        <f>+_xlfn.XLOOKUP($A57,PRÉSTAMOS!$D:$D,PRÉSTAMOS!S:S)</f>
        <v>Préstamo</v>
      </c>
      <c r="K57" s="126">
        <f>+IFERROR(_xlfn.XLOOKUP(Contratos[[#This Row],[No. CONTRATO]],CajaTotal[REFERENCIA],CajaTotal[DEBITO]),0)</f>
        <v>0</v>
      </c>
      <c r="L57" s="125" t="str" cm="1">
        <f t="array" ref="L57">+IFERROR(MAX(_xlfn._xlws.FILTER(CajaTotal[FECHA],CajaTotal[REFERENCIA]=Contratos[[#This Row],[No. CONTRATO]])),"")</f>
        <v/>
      </c>
      <c r="M57" t="str">
        <f>+IF(_xlfn.XLOOKUP($A57,PRÉSTAMOS!$D:$D,PRÉSTAMOS!V:V)=0,"",_xlfn.XLOOKUP($A57,PRÉSTAMOS!$D:$D,PRÉSTAMOS!V:V))</f>
        <v/>
      </c>
      <c r="N57" s="125" t="str">
        <f>+IF(_xlfn.XLOOKUP($A57,PRÉSTAMOS!$D:$D,PRÉSTAMOS!W:W)=0,"",_xlfn.XLOOKUP($A57,PRÉSTAMOS!$D:$D,PRÉSTAMOS!W:W))</f>
        <v>NO ACEPTA SER CODEUDOR</v>
      </c>
      <c r="O57" s="125" t="str">
        <f>+IF(_xlfn.XLOOKUP($A57,PRÉSTAMOS!$D:$D,PRÉSTAMOS!X:X)=0,"",_xlfn.XLOOKUP($A57,PRÉSTAMOS!$D:$D,PRÉSTAMOS!X:X))</f>
        <v/>
      </c>
      <c r="R57" t="str">
        <f ca="1">+IF(Contratos[[#This Row],[JURIDICO]]=1,"PROCESO JURIDICO",IF(I57&lt;TODAY(),"VENCIDO","ACTIVO"))</f>
        <v>VENCIDO</v>
      </c>
    </row>
    <row r="58" spans="1:18" hidden="1" x14ac:dyDescent="0.25">
      <c r="A58">
        <v>469</v>
      </c>
      <c r="B58">
        <f>+_xlfn.XLOOKUP($A58,PRÉSTAMOS!$D:$D,PRÉSTAMOS!B:B)</f>
        <v>10069872</v>
      </c>
      <c r="C58" s="126">
        <f>+_xlfn.XLOOKUP($A58,PRÉSTAMOS!$D:$D,PRÉSTAMOS!K:K)</f>
        <v>500000</v>
      </c>
      <c r="D58" s="126" cm="1">
        <f t="array" ref="D58">+ValorProyectado_Aritmetico(C58,0.13,3)</f>
        <v>2195000</v>
      </c>
      <c r="E58" t="str" cm="1">
        <f t="array" ref="E58">+CONVERTIRNUM(D58)</f>
        <v>Dos Millones Ciento Noventa y Cinco Mil Pesos</v>
      </c>
      <c r="F58" s="126" cm="1">
        <f t="array" ref="F58">+Honorarios(D58,0.13)</f>
        <v>285350</v>
      </c>
      <c r="G58" s="127">
        <f>+_xlfn.XLOOKUP($A58,PRÉSTAMOS!$D:$D,PRÉSTAMOS!P:P)/100</f>
        <v>0.13</v>
      </c>
      <c r="H58" s="132">
        <v>45041</v>
      </c>
      <c r="I58" s="132">
        <f>+DATE(YEAR(Contratos[[#This Row],[FECHA DESEMBOLSO]]),MONTH(Contratos[[#This Row],[FECHA DESEMBOLSO]])+3,DAY(Contratos[[#This Row],[FECHA DESEMBOLSO]]))</f>
        <v>45132</v>
      </c>
      <c r="J58" t="str">
        <f>+_xlfn.XLOOKUP($A58,PRÉSTAMOS!$D:$D,PRÉSTAMOS!S:S)</f>
        <v>Prestaprima</v>
      </c>
      <c r="K58" s="126">
        <f>+IFERROR(_xlfn.XLOOKUP(Contratos[[#This Row],[No. CONTRATO]],CajaTotal[REFERENCIA],CajaTotal[DEBITO]),0)</f>
        <v>630000</v>
      </c>
      <c r="L58" s="125" cm="1">
        <f t="array" ref="L58">+IFERROR(MAX(_xlfn._xlws.FILTER(CajaTotal[FECHA],CajaTotal[REFERENCIA]=Contratos[[#This Row],[No. CONTRATO]])),"")</f>
        <v>45112</v>
      </c>
      <c r="M58" t="str">
        <f>+IF(_xlfn.XLOOKUP($A58,PRÉSTAMOS!$D:$D,PRÉSTAMOS!V:V)=0,"",_xlfn.XLOOKUP($A58,PRÉSTAMOS!$D:$D,PRÉSTAMOS!V:V))</f>
        <v>pago total</v>
      </c>
      <c r="N58" s="125">
        <f>+IF(_xlfn.XLOOKUP($A58,PRÉSTAMOS!$D:$D,PRÉSTAMOS!W:W)=0,"",_xlfn.XLOOKUP($A58,PRÉSTAMOS!$D:$D,PRÉSTAMOS!W:W))</f>
        <v>45112</v>
      </c>
      <c r="O58" s="125" t="str">
        <f>+IF(_xlfn.XLOOKUP($A58,PRÉSTAMOS!$D:$D,PRÉSTAMOS!X:X)=0,"",_xlfn.XLOOKUP($A58,PRÉSTAMOS!$D:$D,PRÉSTAMOS!X:X))</f>
        <v>MARÍA FDA. ALZATE</v>
      </c>
      <c r="R58" t="str">
        <f ca="1">+IF(Contratos[[#This Row],[JURIDICO]]=1,"PROCESO JURIDICO",IF(I58&lt;TODAY(),"VENCIDO","ACTIVO"))</f>
        <v>VENCIDO</v>
      </c>
    </row>
    <row r="59" spans="1:18" hidden="1" x14ac:dyDescent="0.25">
      <c r="A59">
        <v>470</v>
      </c>
      <c r="B59">
        <f>+_xlfn.XLOOKUP($A59,PRÉSTAMOS!$D:$D,PRÉSTAMOS!B:B)</f>
        <v>29770801</v>
      </c>
      <c r="C59" s="126">
        <f>+_xlfn.XLOOKUP($A59,PRÉSTAMOS!$D:$D,PRÉSTAMOS!K:K)</f>
        <v>5000000</v>
      </c>
      <c r="D59" s="126" cm="1">
        <f t="array" ref="D59">+ValorProyectado_Aritmetico(C59,0.13,3)</f>
        <v>8450000</v>
      </c>
      <c r="E59" t="str" cm="1">
        <f t="array" ref="E59">+CONVERTIRNUM(D59)</f>
        <v>Ocho Millones Cuatrocientos Cincuenta Mil Pesos</v>
      </c>
      <c r="F59" s="126" cm="1">
        <f t="array" ref="F59">+Honorarios(D59,0.13)</f>
        <v>1098500</v>
      </c>
      <c r="G59" s="127">
        <f>+_xlfn.XLOOKUP($A59,PRÉSTAMOS!$D:$D,PRÉSTAMOS!P:P)/100</f>
        <v>0.13</v>
      </c>
      <c r="H59" s="132">
        <v>45043</v>
      </c>
      <c r="I59" s="132">
        <f>+DATE(YEAR(Contratos[[#This Row],[FECHA DESEMBOLSO]]),MONTH(Contratos[[#This Row],[FECHA DESEMBOLSO]])+3,DAY(Contratos[[#This Row],[FECHA DESEMBOLSO]]))</f>
        <v>45134</v>
      </c>
      <c r="J59" t="str">
        <f>+_xlfn.XLOOKUP($A59,PRÉSTAMOS!$D:$D,PRÉSTAMOS!S:S)</f>
        <v>Normalización</v>
      </c>
      <c r="K59" s="126">
        <f>+IFERROR(_xlfn.XLOOKUP(Contratos[[#This Row],[No. CONTRATO]],CajaTotal[REFERENCIA],CajaTotal[DEBITO]),0)</f>
        <v>0</v>
      </c>
      <c r="L59" s="125" t="str" cm="1">
        <f t="array" ref="L59">+IFERROR(MAX(_xlfn._xlws.FILTER(CajaTotal[FECHA],CajaTotal[REFERENCIA]=Contratos[[#This Row],[No. CONTRATO]])),"")</f>
        <v/>
      </c>
      <c r="M59" t="str">
        <f>+IF(_xlfn.XLOOKUP($A59,PRÉSTAMOS!$D:$D,PRÉSTAMOS!V:V)=0,"",_xlfn.XLOOKUP($A59,PRÉSTAMOS!$D:$D,PRÉSTAMOS!V:V))</f>
        <v>PAGO TOTAL</v>
      </c>
      <c r="N59" s="125">
        <f>+IF(_xlfn.XLOOKUP($A59,PRÉSTAMOS!$D:$D,PRÉSTAMOS!W:W)=0,"",_xlfn.XLOOKUP($A59,PRÉSTAMOS!$D:$D,PRÉSTAMOS!W:W))</f>
        <v>45090</v>
      </c>
      <c r="O59" s="125" t="str">
        <f>+IF(_xlfn.XLOOKUP($A59,PRÉSTAMOS!$D:$D,PRÉSTAMOS!X:X)=0,"",_xlfn.XLOOKUP($A59,PRÉSTAMOS!$D:$D,PRÉSTAMOS!X:X))</f>
        <v/>
      </c>
      <c r="R59" t="str">
        <f ca="1">+IF(Contratos[[#This Row],[JURIDICO]]=1,"PROCESO JURIDICO",IF(I59&lt;TODAY(),"VENCIDO","ACTIVO"))</f>
        <v>VENCIDO</v>
      </c>
    </row>
    <row r="60" spans="1:18" x14ac:dyDescent="0.25">
      <c r="A60">
        <v>471</v>
      </c>
      <c r="B60">
        <f>+_xlfn.XLOOKUP($A60,PRÉSTAMOS!$D:$D,PRÉSTAMOS!B:B)</f>
        <v>10083610</v>
      </c>
      <c r="C60" s="126">
        <f>+_xlfn.XLOOKUP($A60,PRÉSTAMOS!$D:$D,PRÉSTAMOS!K:K)</f>
        <v>500000</v>
      </c>
      <c r="D60" s="126" cm="1">
        <f t="array" ref="D60">+ValorProyectado_Aritmetico(C60,0.13,3)</f>
        <v>2195000</v>
      </c>
      <c r="E60" t="str" cm="1">
        <f t="array" ref="E60">+CONVERTIRNUM(D60)</f>
        <v>Dos Millones Ciento Noventa y Cinco Mil Pesos</v>
      </c>
      <c r="F60" s="126" cm="1">
        <f t="array" ref="F60">+Honorarios(D60,0.13)</f>
        <v>285350</v>
      </c>
      <c r="G60" s="127">
        <f>+_xlfn.XLOOKUP($A60,PRÉSTAMOS!$D:$D,PRÉSTAMOS!P:P)/100</f>
        <v>0.13</v>
      </c>
      <c r="H60" s="132">
        <v>45048</v>
      </c>
      <c r="I60" s="132">
        <f>+DATE(YEAR(Contratos[[#This Row],[FECHA DESEMBOLSO]]),MONTH(Contratos[[#This Row],[FECHA DESEMBOLSO]])+3,DAY(Contratos[[#This Row],[FECHA DESEMBOLSO]]))</f>
        <v>45140</v>
      </c>
      <c r="J60" t="str">
        <f>+_xlfn.XLOOKUP($A60,PRÉSTAMOS!$D:$D,PRÉSTAMOS!S:S)</f>
        <v>Adelanto</v>
      </c>
      <c r="K60" s="126">
        <f>+IFERROR(_xlfn.XLOOKUP(Contratos[[#This Row],[No. CONTRATO]],CajaTotal[REFERENCIA],CajaTotal[DEBITO]),0)</f>
        <v>0</v>
      </c>
      <c r="L60" s="125" t="str" cm="1">
        <f t="array" ref="L60">+IFERROR(MAX(_xlfn._xlws.FILTER(CajaTotal[FECHA],CajaTotal[REFERENCIA]=Contratos[[#This Row],[No. CONTRATO]])),"")</f>
        <v/>
      </c>
      <c r="M60" t="str">
        <f>+IF(_xlfn.XLOOKUP($A60,PRÉSTAMOS!$D:$D,PRÉSTAMOS!V:V)=0,"",_xlfn.XLOOKUP($A60,PRÉSTAMOS!$D:$D,PRÉSTAMOS!V:V))</f>
        <v/>
      </c>
      <c r="N60" s="125" t="str">
        <f>+IF(_xlfn.XLOOKUP($A60,PRÉSTAMOS!$D:$D,PRÉSTAMOS!W:W)=0,"",_xlfn.XLOOKUP($A60,PRÉSTAMOS!$D:$D,PRÉSTAMOS!W:W))</f>
        <v/>
      </c>
      <c r="O60" s="125" t="str">
        <f>+IF(_xlfn.XLOOKUP($A60,PRÉSTAMOS!$D:$D,PRÉSTAMOS!X:X)=0,"",_xlfn.XLOOKUP($A60,PRÉSTAMOS!$D:$D,PRÉSTAMOS!X:X))</f>
        <v/>
      </c>
      <c r="R60" t="str">
        <f ca="1">+IF(Contratos[[#This Row],[JURIDICO]]=1,"PROCESO JURIDICO",IF(I60&lt;TODAY(),"VENCIDO","ACTIVO"))</f>
        <v>VENCIDO</v>
      </c>
    </row>
    <row r="61" spans="1:18" hidden="1" x14ac:dyDescent="0.25">
      <c r="A61">
        <v>472</v>
      </c>
      <c r="B61">
        <f>+_xlfn.XLOOKUP($A61,PRÉSTAMOS!$D:$D,PRÉSTAMOS!B:B)</f>
        <v>29770026</v>
      </c>
      <c r="C61" s="126">
        <f>+_xlfn.XLOOKUP($A61,PRÉSTAMOS!$D:$D,PRÉSTAMOS!K:K)</f>
        <v>1000000</v>
      </c>
      <c r="D61" s="126" cm="1">
        <f t="array" ref="D61">+ValorProyectado_Aritmetico(C61,0.13,3)</f>
        <v>2890000</v>
      </c>
      <c r="E61" t="str" cm="1">
        <f t="array" ref="E61">+CONVERTIRNUM(D61)</f>
        <v>Dos Millones Ochocientos Noventa Mil Pesos</v>
      </c>
      <c r="F61" s="126" cm="1">
        <f t="array" ref="F61">+Honorarios(D61,0.13)</f>
        <v>375700</v>
      </c>
      <c r="G61" s="127">
        <f>+_xlfn.XLOOKUP($A61,PRÉSTAMOS!$D:$D,PRÉSTAMOS!P:P)/100</f>
        <v>0.13</v>
      </c>
      <c r="H61" s="132">
        <v>45049</v>
      </c>
      <c r="I61" s="132">
        <f>+DATE(YEAR(Contratos[[#This Row],[FECHA DESEMBOLSO]]),MONTH(Contratos[[#This Row],[FECHA DESEMBOLSO]])+3,DAY(Contratos[[#This Row],[FECHA DESEMBOLSO]]))</f>
        <v>45141</v>
      </c>
      <c r="J61" t="str">
        <f>+_xlfn.XLOOKUP($A61,PRÉSTAMOS!$D:$D,PRÉSTAMOS!S:S)</f>
        <v>Adelanto</v>
      </c>
      <c r="K61" s="126">
        <f>+IFERROR(_xlfn.XLOOKUP(Contratos[[#This Row],[No. CONTRATO]],CajaTotal[REFERENCIA],CajaTotal[DEBITO]),0)</f>
        <v>0</v>
      </c>
      <c r="L61" s="125" t="str" cm="1">
        <f t="array" ref="L61">+IFERROR(MAX(_xlfn._xlws.FILTER(CajaTotal[FECHA],CajaTotal[REFERENCIA]=Contratos[[#This Row],[No. CONTRATO]])),"")</f>
        <v/>
      </c>
      <c r="M61" t="str">
        <f>+IF(_xlfn.XLOOKUP($A61,PRÉSTAMOS!$D:$D,PRÉSTAMOS!V:V)=0,"",_xlfn.XLOOKUP($A61,PRÉSTAMOS!$D:$D,PRÉSTAMOS!V:V))</f>
        <v>pago total</v>
      </c>
      <c r="N61" s="125">
        <f>+IF(_xlfn.XLOOKUP($A61,PRÉSTAMOS!$D:$D,PRÉSTAMOS!W:W)=0,"",_xlfn.XLOOKUP($A61,PRÉSTAMOS!$D:$D,PRÉSTAMOS!W:W))</f>
        <v>45057</v>
      </c>
      <c r="O61" s="125" t="str">
        <f>+IF(_xlfn.XLOOKUP($A61,PRÉSTAMOS!$D:$D,PRÉSTAMOS!X:X)=0,"",_xlfn.XLOOKUP($A61,PRÉSTAMOS!$D:$D,PRÉSTAMOS!X:X))</f>
        <v/>
      </c>
      <c r="R61" t="str">
        <f ca="1">+IF(Contratos[[#This Row],[JURIDICO]]=1,"PROCESO JURIDICO",IF(I61&lt;TODAY(),"VENCIDO","ACTIVO"))</f>
        <v>VENCIDO</v>
      </c>
    </row>
    <row r="62" spans="1:18" x14ac:dyDescent="0.25">
      <c r="A62">
        <v>473</v>
      </c>
      <c r="B62">
        <f>+_xlfn.XLOOKUP($A62,PRÉSTAMOS!$D:$D,PRÉSTAMOS!B:B)</f>
        <v>10240812</v>
      </c>
      <c r="C62" s="126">
        <f>+_xlfn.XLOOKUP($A62,PRÉSTAMOS!$D:$D,PRÉSTAMOS!K:K)</f>
        <v>1000000</v>
      </c>
      <c r="D62" s="126" cm="1">
        <f t="array" ref="D62">+ValorProyectado_Aritmetico(C62,0.13,3)</f>
        <v>2890000</v>
      </c>
      <c r="E62" t="str" cm="1">
        <f t="array" ref="E62">+CONVERTIRNUM(D62)</f>
        <v>Dos Millones Ochocientos Noventa Mil Pesos</v>
      </c>
      <c r="F62" s="126" cm="1">
        <f t="array" ref="F62">+Honorarios(D62,0.13)</f>
        <v>375700</v>
      </c>
      <c r="G62" s="127">
        <f>+_xlfn.XLOOKUP($A62,PRÉSTAMOS!$D:$D,PRÉSTAMOS!P:P)/100</f>
        <v>0.13</v>
      </c>
      <c r="H62" s="132">
        <v>45051</v>
      </c>
      <c r="I62" s="132">
        <f>+DATE(YEAR(Contratos[[#This Row],[FECHA DESEMBOLSO]]),MONTH(Contratos[[#This Row],[FECHA DESEMBOLSO]])+3,DAY(Contratos[[#This Row],[FECHA DESEMBOLSO]]))</f>
        <v>45143</v>
      </c>
      <c r="J62" t="str">
        <f>+_xlfn.XLOOKUP($A62,PRÉSTAMOS!$D:$D,PRÉSTAMOS!S:S)</f>
        <v>Adelanto</v>
      </c>
      <c r="K62" s="126">
        <f>+IFERROR(_xlfn.XLOOKUP(Contratos[[#This Row],[No. CONTRATO]],CajaTotal[REFERENCIA],CajaTotal[DEBITO]),0)</f>
        <v>0</v>
      </c>
      <c r="L62" s="125" t="str" cm="1">
        <f t="array" ref="L62">+IFERROR(MAX(_xlfn._xlws.FILTER(CajaTotal[FECHA],CajaTotal[REFERENCIA]=Contratos[[#This Row],[No. CONTRATO]])),"")</f>
        <v/>
      </c>
      <c r="M62" t="str">
        <f>+IF(_xlfn.XLOOKUP($A62,PRÉSTAMOS!$D:$D,PRÉSTAMOS!V:V)=0,"",_xlfn.XLOOKUP($A62,PRÉSTAMOS!$D:$D,PRÉSTAMOS!V:V))</f>
        <v/>
      </c>
      <c r="N62" s="125" t="str">
        <f>+IF(_xlfn.XLOOKUP($A62,PRÉSTAMOS!$D:$D,PRÉSTAMOS!W:W)=0,"",_xlfn.XLOOKUP($A62,PRÉSTAMOS!$D:$D,PRÉSTAMOS!W:W))</f>
        <v/>
      </c>
      <c r="O62" s="125" t="str">
        <f>+IF(_xlfn.XLOOKUP($A62,PRÉSTAMOS!$D:$D,PRÉSTAMOS!X:X)=0,"",_xlfn.XLOOKUP($A62,PRÉSTAMOS!$D:$D,PRÉSTAMOS!X:X))</f>
        <v>SERGIO RAMÍREZ</v>
      </c>
      <c r="R62" t="str">
        <f ca="1">+IF(Contratos[[#This Row],[JURIDICO]]=1,"PROCESO JURIDICO",IF(I62&lt;TODAY(),"VENCIDO","ACTIVO"))</f>
        <v>VENCIDO</v>
      </c>
    </row>
    <row r="63" spans="1:18" x14ac:dyDescent="0.25">
      <c r="A63">
        <v>474</v>
      </c>
      <c r="B63">
        <f>+_xlfn.XLOOKUP($A63,PRÉSTAMOS!$D:$D,PRÉSTAMOS!B:B)</f>
        <v>42028846</v>
      </c>
      <c r="C63" s="126">
        <f>+_xlfn.XLOOKUP($A63,PRÉSTAMOS!$D:$D,PRÉSTAMOS!K:K)</f>
        <v>2000000</v>
      </c>
      <c r="D63" s="126" cm="1">
        <f t="array" ref="D63">+ValorProyectado_Aritmetico(C63,0.13,3)</f>
        <v>4280000</v>
      </c>
      <c r="E63" t="str" cm="1">
        <f t="array" ref="E63">+CONVERTIRNUM(D63)</f>
        <v>Cuatro Millones Doscientos Ochenta Mil Pesos</v>
      </c>
      <c r="F63" s="126" cm="1">
        <f t="array" ref="F63">+Honorarios(D63,0.13)</f>
        <v>556400</v>
      </c>
      <c r="G63" s="127">
        <f>+_xlfn.XLOOKUP($A63,PRÉSTAMOS!$D:$D,PRÉSTAMOS!P:P)/100</f>
        <v>6.5000000000000002E-2</v>
      </c>
      <c r="H63" s="132">
        <v>45051</v>
      </c>
      <c r="I63" s="132">
        <f>+DATE(YEAR(Contratos[[#This Row],[FECHA DESEMBOLSO]]),MONTH(Contratos[[#This Row],[FECHA DESEMBOLSO]])+3,DAY(Contratos[[#This Row],[FECHA DESEMBOLSO]]))</f>
        <v>45143</v>
      </c>
      <c r="J63" t="str">
        <f>+_xlfn.XLOOKUP($A63,PRÉSTAMOS!$D:$D,PRÉSTAMOS!S:S)</f>
        <v>Préstamo</v>
      </c>
      <c r="K63" s="126">
        <f>+IFERROR(_xlfn.XLOOKUP(Contratos[[#This Row],[No. CONTRATO]],CajaTotal[REFERENCIA],CajaTotal[DEBITO]),0)</f>
        <v>0</v>
      </c>
      <c r="L63" s="125" t="str" cm="1">
        <f t="array" ref="L63">+IFERROR(MAX(_xlfn._xlws.FILTER(CajaTotal[FECHA],CajaTotal[REFERENCIA]=Contratos[[#This Row],[No. CONTRATO]])),"")</f>
        <v/>
      </c>
      <c r="M63" t="str">
        <f>+IF(_xlfn.XLOOKUP($A63,PRÉSTAMOS!$D:$D,PRÉSTAMOS!V:V)=0,"",_xlfn.XLOOKUP($A63,PRÉSTAMOS!$D:$D,PRÉSTAMOS!V:V))</f>
        <v/>
      </c>
      <c r="N63" s="125" t="str">
        <f>+IF(_xlfn.XLOOKUP($A63,PRÉSTAMOS!$D:$D,PRÉSTAMOS!W:W)=0,"",_xlfn.XLOOKUP($A63,PRÉSTAMOS!$D:$D,PRÉSTAMOS!W:W))</f>
        <v/>
      </c>
      <c r="O63" s="125" t="str">
        <f>+IF(_xlfn.XLOOKUP($A63,PRÉSTAMOS!$D:$D,PRÉSTAMOS!X:X)=0,"",_xlfn.XLOOKUP($A63,PRÉSTAMOS!$D:$D,PRÉSTAMOS!X:X))</f>
        <v>JULIÁN RENDÓN 3%</v>
      </c>
      <c r="R63" t="str">
        <f ca="1">+IF(Contratos[[#This Row],[JURIDICO]]=1,"PROCESO JURIDICO",IF(I63&lt;TODAY(),"VENCIDO","ACTIVO"))</f>
        <v>VENCIDO</v>
      </c>
    </row>
    <row r="64" spans="1:18" x14ac:dyDescent="0.25">
      <c r="A64">
        <v>475</v>
      </c>
      <c r="B64">
        <f>+_xlfn.XLOOKUP($A64,PRÉSTAMOS!$D:$D,PRÉSTAMOS!B:B)</f>
        <v>10083610</v>
      </c>
      <c r="C64" s="126">
        <f>+_xlfn.XLOOKUP($A64,PRÉSTAMOS!$D:$D,PRÉSTAMOS!K:K)</f>
        <v>1000000</v>
      </c>
      <c r="D64" s="126" cm="1">
        <f t="array" ref="D64">+ValorProyectado_Aritmetico(C64,0.13,3)</f>
        <v>2890000</v>
      </c>
      <c r="E64" t="str" cm="1">
        <f t="array" ref="E64">+CONVERTIRNUM(D64)</f>
        <v>Dos Millones Ochocientos Noventa Mil Pesos</v>
      </c>
      <c r="F64" s="126" cm="1">
        <f t="array" ref="F64">+Honorarios(D64,0.13)</f>
        <v>375700</v>
      </c>
      <c r="G64" s="127">
        <f>+_xlfn.XLOOKUP($A64,PRÉSTAMOS!$D:$D,PRÉSTAMOS!P:P)/100</f>
        <v>0.13</v>
      </c>
      <c r="H64" s="132">
        <v>45055</v>
      </c>
      <c r="I64" s="132">
        <f>+DATE(YEAR(Contratos[[#This Row],[FECHA DESEMBOLSO]]),MONTH(Contratos[[#This Row],[FECHA DESEMBOLSO]])+3,DAY(Contratos[[#This Row],[FECHA DESEMBOLSO]]))</f>
        <v>45147</v>
      </c>
      <c r="J64" t="str">
        <f>+_xlfn.XLOOKUP($A64,PRÉSTAMOS!$D:$D,PRÉSTAMOS!S:S)</f>
        <v>Adelanto</v>
      </c>
      <c r="K64" s="126">
        <f>+IFERROR(_xlfn.XLOOKUP(Contratos[[#This Row],[No. CONTRATO]],CajaTotal[REFERENCIA],CajaTotal[DEBITO]),0)</f>
        <v>0</v>
      </c>
      <c r="L64" s="125" t="str" cm="1">
        <f t="array" ref="L64">+IFERROR(MAX(_xlfn._xlws.FILTER(CajaTotal[FECHA],CajaTotal[REFERENCIA]=Contratos[[#This Row],[No. CONTRATO]])),"")</f>
        <v/>
      </c>
      <c r="M64" t="str">
        <f>+IF(_xlfn.XLOOKUP($A64,PRÉSTAMOS!$D:$D,PRÉSTAMOS!V:V)=0,"",_xlfn.XLOOKUP($A64,PRÉSTAMOS!$D:$D,PRÉSTAMOS!V:V))</f>
        <v/>
      </c>
      <c r="N64" s="125" t="str">
        <f>+IF(_xlfn.XLOOKUP($A64,PRÉSTAMOS!$D:$D,PRÉSTAMOS!W:W)=0,"",_xlfn.XLOOKUP($A64,PRÉSTAMOS!$D:$D,PRÉSTAMOS!W:W))</f>
        <v/>
      </c>
      <c r="O64" s="125" t="str">
        <f>+IF(_xlfn.XLOOKUP($A64,PRÉSTAMOS!$D:$D,PRÉSTAMOS!X:X)=0,"",_xlfn.XLOOKUP($A64,PRÉSTAMOS!$D:$D,PRÉSTAMOS!X:X))</f>
        <v/>
      </c>
      <c r="R64" t="str">
        <f ca="1">+IF(Contratos[[#This Row],[JURIDICO]]=1,"PROCESO JURIDICO",IF(I64&lt;TODAY(),"VENCIDO","ACTIVO"))</f>
        <v>VENCIDO</v>
      </c>
    </row>
    <row r="65" spans="1:19" x14ac:dyDescent="0.25">
      <c r="A65">
        <v>476</v>
      </c>
      <c r="B65">
        <f>+_xlfn.XLOOKUP($A65,PRÉSTAMOS!$D:$D,PRÉSTAMOS!B:B)</f>
        <v>42122299</v>
      </c>
      <c r="C65" s="126">
        <f>+_xlfn.XLOOKUP($A65,PRÉSTAMOS!$D:$D,PRÉSTAMOS!K:K)</f>
        <v>2000000</v>
      </c>
      <c r="D65" s="126" cm="1">
        <f t="array" ref="D65">+ValorProyectado_Aritmetico(C65,0.13,3)</f>
        <v>4280000</v>
      </c>
      <c r="E65" t="str" cm="1">
        <f t="array" ref="E65">+CONVERTIRNUM(D65)</f>
        <v>Cuatro Millones Doscientos Ochenta Mil Pesos</v>
      </c>
      <c r="F65" s="126" cm="1">
        <f t="array" ref="F65">+Honorarios(D65,0.13)</f>
        <v>556400</v>
      </c>
      <c r="G65" s="127">
        <f>+_xlfn.XLOOKUP($A65,PRÉSTAMOS!$D:$D,PRÉSTAMOS!P:P)/100</f>
        <v>6.5000000000000002E-2</v>
      </c>
      <c r="H65" s="132">
        <v>45057</v>
      </c>
      <c r="I65" s="132">
        <f>+DATE(YEAR(Contratos[[#This Row],[FECHA DESEMBOLSO]]),MONTH(Contratos[[#This Row],[FECHA DESEMBOLSO]])+3,DAY(Contratos[[#This Row],[FECHA DESEMBOLSO]]))</f>
        <v>45149</v>
      </c>
      <c r="J65" t="str">
        <f>+_xlfn.XLOOKUP($A65,PRÉSTAMOS!$D:$D,PRÉSTAMOS!S:S)</f>
        <v>Préstamo</v>
      </c>
      <c r="K65" s="126">
        <f>+IFERROR(_xlfn.XLOOKUP(Contratos[[#This Row],[No. CONTRATO]],CajaTotal[REFERENCIA],CajaTotal[DEBITO]),0)</f>
        <v>0</v>
      </c>
      <c r="L65" s="125" t="str" cm="1">
        <f t="array" ref="L65">+IFERROR(MAX(_xlfn._xlws.FILTER(CajaTotal[FECHA],CajaTotal[REFERENCIA]=Contratos[[#This Row],[No. CONTRATO]])),"")</f>
        <v/>
      </c>
      <c r="M65" t="str">
        <f>+IF(_xlfn.XLOOKUP($A65,PRÉSTAMOS!$D:$D,PRÉSTAMOS!V:V)=0,"",_xlfn.XLOOKUP($A65,PRÉSTAMOS!$D:$D,PRÉSTAMOS!V:V))</f>
        <v/>
      </c>
      <c r="N65" s="125" t="str">
        <f>+IF(_xlfn.XLOOKUP($A65,PRÉSTAMOS!$D:$D,PRÉSTAMOS!W:W)=0,"",_xlfn.XLOOKUP($A65,PRÉSTAMOS!$D:$D,PRÉSTAMOS!W:W))</f>
        <v/>
      </c>
      <c r="O65" s="125" t="str">
        <f>+IF(_xlfn.XLOOKUP($A65,PRÉSTAMOS!$D:$D,PRÉSTAMOS!X:X)=0,"",_xlfn.XLOOKUP($A65,PRÉSTAMOS!$D:$D,PRÉSTAMOS!X:X))</f>
        <v/>
      </c>
      <c r="R65" t="str">
        <f ca="1">+IF(Contratos[[#This Row],[JURIDICO]]=1,"PROCESO JURIDICO",IF(I65&lt;TODAY(),"VENCIDO","ACTIVO"))</f>
        <v>VENCIDO</v>
      </c>
    </row>
    <row r="66" spans="1:19" x14ac:dyDescent="0.25">
      <c r="A66">
        <v>477</v>
      </c>
      <c r="B66">
        <f>+_xlfn.XLOOKUP($A66,PRÉSTAMOS!$D:$D,PRÉSTAMOS!B:B)</f>
        <v>28527446</v>
      </c>
      <c r="C66" s="126">
        <f>+_xlfn.XLOOKUP($A66,PRÉSTAMOS!$D:$D,PRÉSTAMOS!K:K)</f>
        <v>2000000</v>
      </c>
      <c r="D66" s="126" cm="1">
        <f t="array" ref="D66">+ValorProyectado_Aritmetico(C66,0.13,3)</f>
        <v>4280000</v>
      </c>
      <c r="E66" t="str" cm="1">
        <f t="array" ref="E66">+CONVERTIRNUM(D66)</f>
        <v>Cuatro Millones Doscientos Ochenta Mil Pesos</v>
      </c>
      <c r="F66" s="126" cm="1">
        <f t="array" ref="F66">+Honorarios(D66,0.13)</f>
        <v>556400</v>
      </c>
      <c r="G66" s="127">
        <f>+_xlfn.XLOOKUP($A66,PRÉSTAMOS!$D:$D,PRÉSTAMOS!P:P)/100</f>
        <v>6.5000000000000002E-2</v>
      </c>
      <c r="H66" s="132">
        <v>45057</v>
      </c>
      <c r="I66" s="132">
        <f>+DATE(YEAR(Contratos[[#This Row],[FECHA DESEMBOLSO]]),MONTH(Contratos[[#This Row],[FECHA DESEMBOLSO]])+3,DAY(Contratos[[#This Row],[FECHA DESEMBOLSO]]))</f>
        <v>45149</v>
      </c>
      <c r="J66" t="str">
        <f>+_xlfn.XLOOKUP($A66,PRÉSTAMOS!$D:$D,PRÉSTAMOS!S:S)</f>
        <v>Préstamo</v>
      </c>
      <c r="K66" s="126">
        <f>+IFERROR(_xlfn.XLOOKUP(Contratos[[#This Row],[No. CONTRATO]],CajaTotal[REFERENCIA],CajaTotal[DEBITO]),0)</f>
        <v>0</v>
      </c>
      <c r="L66" s="125" t="str" cm="1">
        <f t="array" ref="L66">+IFERROR(MAX(_xlfn._xlws.FILTER(CajaTotal[FECHA],CajaTotal[REFERENCIA]=Contratos[[#This Row],[No. CONTRATO]])),"")</f>
        <v/>
      </c>
      <c r="M66" t="str">
        <f>+IF(_xlfn.XLOOKUP($A66,PRÉSTAMOS!$D:$D,PRÉSTAMOS!V:V)=0,"",_xlfn.XLOOKUP($A66,PRÉSTAMOS!$D:$D,PRÉSTAMOS!V:V))</f>
        <v/>
      </c>
      <c r="N66" s="125" t="str">
        <f>+IF(_xlfn.XLOOKUP($A66,PRÉSTAMOS!$D:$D,PRÉSTAMOS!W:W)=0,"",_xlfn.XLOOKUP($A66,PRÉSTAMOS!$D:$D,PRÉSTAMOS!W:W))</f>
        <v/>
      </c>
      <c r="O66" s="125" t="str">
        <f>+IF(_xlfn.XLOOKUP($A66,PRÉSTAMOS!$D:$D,PRÉSTAMOS!X:X)=0,"",_xlfn.XLOOKUP($A66,PRÉSTAMOS!$D:$D,PRÉSTAMOS!X:X))</f>
        <v/>
      </c>
      <c r="R66" t="str">
        <f ca="1">+IF(Contratos[[#This Row],[JURIDICO]]=1,"PROCESO JURIDICO",IF(I66&lt;TODAY(),"VENCIDO","ACTIVO"))</f>
        <v>VENCIDO</v>
      </c>
    </row>
    <row r="67" spans="1:19" hidden="1" x14ac:dyDescent="0.25">
      <c r="A67">
        <v>478</v>
      </c>
      <c r="B67">
        <f>+_xlfn.XLOOKUP($A67,PRÉSTAMOS!$D:$D,PRÉSTAMOS!B:B)</f>
        <v>4509079</v>
      </c>
      <c r="C67" s="126">
        <f>+_xlfn.XLOOKUP($A67,PRÉSTAMOS!$D:$D,PRÉSTAMOS!K:K)</f>
        <v>350000</v>
      </c>
      <c r="D67" s="126" cm="1">
        <f t="array" ref="D67">+ValorProyectado_Aritmetico(C67,0.13,3)</f>
        <v>1986500</v>
      </c>
      <c r="E67" t="str" cm="1">
        <f t="array" ref="E67">+CONVERTIRNUM(D67)</f>
        <v>Un Millón Novecientos Ochenta y Seis Mil Quinientos Pesos</v>
      </c>
      <c r="F67" s="126" cm="1">
        <f t="array" ref="F67">+Honorarios(D67,0.13)</f>
        <v>258245</v>
      </c>
      <c r="G67" s="127">
        <f>+_xlfn.XLOOKUP($A67,PRÉSTAMOS!$D:$D,PRÉSTAMOS!P:P)/100</f>
        <v>0.13</v>
      </c>
      <c r="H67" s="132">
        <v>45061</v>
      </c>
      <c r="I67" s="132">
        <f>+DATE(YEAR(Contratos[[#This Row],[FECHA DESEMBOLSO]]),MONTH(Contratos[[#This Row],[FECHA DESEMBOLSO]])+3,DAY(Contratos[[#This Row],[FECHA DESEMBOLSO]]))</f>
        <v>45153</v>
      </c>
      <c r="J67" t="str">
        <f>+_xlfn.XLOOKUP($A67,PRÉSTAMOS!$D:$D,PRÉSTAMOS!S:S)</f>
        <v>Adelanto</v>
      </c>
      <c r="K67" s="126">
        <f>+IFERROR(_xlfn.XLOOKUP(Contratos[[#This Row],[No. CONTRATO]],CajaTotal[REFERENCIA],CajaTotal[DEBITO]),0)</f>
        <v>0</v>
      </c>
      <c r="L67" s="125" t="str" cm="1">
        <f t="array" ref="L67">+IFERROR(MAX(_xlfn._xlws.FILTER(CajaTotal[FECHA],CajaTotal[REFERENCIA]=Contratos[[#This Row],[No. CONTRATO]])),"")</f>
        <v/>
      </c>
      <c r="M67" t="str">
        <f>+IF(_xlfn.XLOOKUP($A67,PRÉSTAMOS!$D:$D,PRÉSTAMOS!V:V)=0,"",_xlfn.XLOOKUP($A67,PRÉSTAMOS!$D:$D,PRÉSTAMOS!V:V))</f>
        <v>pago total</v>
      </c>
      <c r="N67" s="125">
        <f>+IF(_xlfn.XLOOKUP($A67,PRÉSTAMOS!$D:$D,PRÉSTAMOS!W:W)=0,"",_xlfn.XLOOKUP($A67,PRÉSTAMOS!$D:$D,PRÉSTAMOS!W:W))</f>
        <v>45070</v>
      </c>
      <c r="O67" s="125" t="str">
        <f>+IF(_xlfn.XLOOKUP($A67,PRÉSTAMOS!$D:$D,PRÉSTAMOS!X:X)=0,"",_xlfn.XLOOKUP($A67,PRÉSTAMOS!$D:$D,PRÉSTAMOS!X:X))</f>
        <v/>
      </c>
      <c r="R67" t="str">
        <f ca="1">+IF(Contratos[[#This Row],[JURIDICO]]=1,"PROCESO JURIDICO",IF(I67&lt;TODAY(),"VENCIDO","ACTIVO"))</f>
        <v>VENCIDO</v>
      </c>
    </row>
    <row r="68" spans="1:19" x14ac:dyDescent="0.25">
      <c r="A68">
        <v>479</v>
      </c>
      <c r="B68">
        <f>+_xlfn.XLOOKUP($A68,PRÉSTAMOS!$D:$D,PRÉSTAMOS!B:B)</f>
        <v>42143697</v>
      </c>
      <c r="C68" s="126">
        <f>+_xlfn.XLOOKUP($A68,PRÉSTAMOS!$D:$D,PRÉSTAMOS!K:K)</f>
        <v>1500000</v>
      </c>
      <c r="D68" s="126" cm="1">
        <f t="array" ref="D68">+ValorProyectado_Aritmetico(C68,0.13,3)</f>
        <v>3585000</v>
      </c>
      <c r="E68" t="str" cm="1">
        <f t="array" ref="E68">+CONVERTIRNUM(D68)</f>
        <v>Tres Millones Quinientos Ochenta y Cinco Mil Pesos</v>
      </c>
      <c r="F68" s="126" cm="1">
        <f t="array" ref="F68">+Honorarios(D68,0.13)</f>
        <v>466050</v>
      </c>
      <c r="G68" s="127">
        <f>+_xlfn.XLOOKUP($A68,PRÉSTAMOS!$D:$D,PRÉSTAMOS!P:P)/100</f>
        <v>6.5000000000000002E-2</v>
      </c>
      <c r="H68" s="132">
        <v>45063</v>
      </c>
      <c r="I68" s="132">
        <f>+DATE(YEAR(Contratos[[#This Row],[FECHA DESEMBOLSO]]),MONTH(Contratos[[#This Row],[FECHA DESEMBOLSO]])+3,DAY(Contratos[[#This Row],[FECHA DESEMBOLSO]]))</f>
        <v>45155</v>
      </c>
      <c r="J68" t="str">
        <f>+_xlfn.XLOOKUP($A68,PRÉSTAMOS!$D:$D,PRÉSTAMOS!S:S)</f>
        <v>Préstamo</v>
      </c>
      <c r="K68" s="126">
        <f>+IFERROR(_xlfn.XLOOKUP(Contratos[[#This Row],[No. CONTRATO]],CajaTotal[REFERENCIA],CajaTotal[DEBITO]),0)</f>
        <v>222500</v>
      </c>
      <c r="L68" s="125" cm="1">
        <f t="array" ref="L68">+IFERROR(MAX(_xlfn._xlws.FILTER(CajaTotal[FECHA],CajaTotal[REFERENCIA]=Contratos[[#This Row],[No. CONTRATO]])),"")</f>
        <v>45169</v>
      </c>
      <c r="M68" t="str">
        <f>+IF(_xlfn.XLOOKUP($A68,PRÉSTAMOS!$D:$D,PRÉSTAMOS!V:V)=0,"",_xlfn.XLOOKUP($A68,PRÉSTAMOS!$D:$D,PRÉSTAMOS!V:V))</f>
        <v>cuota 1</v>
      </c>
      <c r="N68" s="125" t="str">
        <f>+IF(_xlfn.XLOOKUP($A68,PRÉSTAMOS!$D:$D,PRÉSTAMOS!W:W)=0,"",_xlfn.XLOOKUP($A68,PRÉSTAMOS!$D:$D,PRÉSTAMOS!W:W))</f>
        <v/>
      </c>
      <c r="O68" s="125" t="str">
        <f>+IF(_xlfn.XLOOKUP($A68,PRÉSTAMOS!$D:$D,PRÉSTAMOS!X:X)=0,"",_xlfn.XLOOKUP($A68,PRÉSTAMOS!$D:$D,PRÉSTAMOS!X:X))</f>
        <v/>
      </c>
      <c r="R68" t="str">
        <f ca="1">+IF(Contratos[[#This Row],[JURIDICO]]=1,"PROCESO JURIDICO",IF(I68&lt;TODAY(),"VENCIDO","ACTIVO"))</f>
        <v>VENCIDO</v>
      </c>
    </row>
    <row r="69" spans="1:19" x14ac:dyDescent="0.25">
      <c r="A69" t="s">
        <v>638</v>
      </c>
      <c r="B69">
        <f>+_xlfn.XLOOKUP($A69,PRÉSTAMOS!$D:$D,PRÉSTAMOS!B:B)</f>
        <v>4350487</v>
      </c>
      <c r="C69" s="126">
        <f>+_xlfn.XLOOKUP($A69,PRÉSTAMOS!$D:$D,PRÉSTAMOS!K:K)</f>
        <v>10000000</v>
      </c>
      <c r="D69" s="126" cm="1">
        <f t="array" ref="D69">+ValorProyectado_Aritmetico(C69,0.13,3)</f>
        <v>15400000</v>
      </c>
      <c r="E69" t="str" cm="1">
        <f t="array" ref="E69">+CONVERTIRNUM(D69)</f>
        <v>Quince Millones Cuatrocientos Mil Pesos</v>
      </c>
      <c r="F69" s="126" cm="1">
        <f t="array" ref="F69">+Honorarios(D69,0.13)</f>
        <v>2002000</v>
      </c>
      <c r="G69" s="127">
        <f>+_xlfn.XLOOKUP($A69,PRÉSTAMOS!$D:$D,PRÉSTAMOS!P:P)/100</f>
        <v>0.13</v>
      </c>
      <c r="H69" s="132">
        <v>44945</v>
      </c>
      <c r="I69" s="132">
        <f>+DATE(YEAR(Contratos[[#This Row],[FECHA DESEMBOLSO]]),MONTH(Contratos[[#This Row],[FECHA DESEMBOLSO]])+3,DAY(Contratos[[#This Row],[FECHA DESEMBOLSO]]))</f>
        <v>45035</v>
      </c>
      <c r="J69" t="str">
        <f>+_xlfn.XLOOKUP($A69,PRÉSTAMOS!$D:$D,PRÉSTAMOS!S:S)</f>
        <v>Préstamo</v>
      </c>
      <c r="K69" s="126">
        <f>+IFERROR(_xlfn.XLOOKUP(Contratos[[#This Row],[No. CONTRATO]],CajaTotal[REFERENCIA],CajaTotal[DEBITO]),0)</f>
        <v>0</v>
      </c>
      <c r="L69" s="125" t="str" cm="1">
        <f t="array" ref="L69">+IFERROR(MAX(_xlfn._xlws.FILTER(CajaTotal[FECHA],CajaTotal[REFERENCIA]=Contratos[[#This Row],[No. CONTRATO]])),"")</f>
        <v/>
      </c>
      <c r="M69" t="str">
        <f>+IF(_xlfn.XLOOKUP($A69,PRÉSTAMOS!$D:$D,PRÉSTAMOS!V:V)=0,"",_xlfn.XLOOKUP($A69,PRÉSTAMOS!$D:$D,PRÉSTAMOS!V:V))</f>
        <v/>
      </c>
      <c r="N69" s="125" t="str">
        <f>+IF(_xlfn.XLOOKUP($A69,PRÉSTAMOS!$D:$D,PRÉSTAMOS!W:W)=0,"",_xlfn.XLOOKUP($A69,PRÉSTAMOS!$D:$D,PRÉSTAMOS!W:W))</f>
        <v/>
      </c>
      <c r="O69" s="125" t="str">
        <f>+IF(_xlfn.XLOOKUP($A69,PRÉSTAMOS!$D:$D,PRÉSTAMOS!X:X)=0,"",_xlfn.XLOOKUP($A69,PRÉSTAMOS!$D:$D,PRÉSTAMOS!X:X))</f>
        <v/>
      </c>
      <c r="R69" t="str">
        <f ca="1">+IF(Contratos[[#This Row],[JURIDICO]]=1,"PROCESO JURIDICO",IF(I69&lt;TODAY(),"VENCIDO","ACTIVO"))</f>
        <v>PROCESO JURIDICO</v>
      </c>
      <c r="S69">
        <v>1</v>
      </c>
    </row>
    <row r="70" spans="1:19" x14ac:dyDescent="0.25">
      <c r="A70">
        <v>480</v>
      </c>
      <c r="B70">
        <f>+_xlfn.XLOOKUP($A70,PRÉSTAMOS!$D:$D,PRÉSTAMOS!B:B)</f>
        <v>10060779</v>
      </c>
      <c r="C70" s="126">
        <f>+_xlfn.XLOOKUP($A70,PRÉSTAMOS!$D:$D,PRÉSTAMOS!K:K)</f>
        <v>500000</v>
      </c>
      <c r="D70" s="126" cm="1">
        <f t="array" ref="D70">+ValorProyectado_Aritmetico(C70,0.13,3)</f>
        <v>2195000</v>
      </c>
      <c r="E70" t="str" cm="1">
        <f t="array" ref="E70">+CONVERTIRNUM(D70)</f>
        <v>Dos Millones Ciento Noventa y Cinco Mil Pesos</v>
      </c>
      <c r="F70" s="126" cm="1">
        <f t="array" ref="F70">+Honorarios(D70,0.13)</f>
        <v>285350</v>
      </c>
      <c r="G70" s="127">
        <f>+_xlfn.XLOOKUP($A70,PRÉSTAMOS!$D:$D,PRÉSTAMOS!P:P)/100</f>
        <v>0.13</v>
      </c>
      <c r="H70" s="132">
        <v>45065</v>
      </c>
      <c r="I70" s="132">
        <f>+DATE(YEAR(Contratos[[#This Row],[FECHA DESEMBOLSO]]),MONTH(Contratos[[#This Row],[FECHA DESEMBOLSO]])+3,DAY(Contratos[[#This Row],[FECHA DESEMBOLSO]]))</f>
        <v>45157</v>
      </c>
      <c r="J70" t="str">
        <f>+_xlfn.XLOOKUP($A70,PRÉSTAMOS!$D:$D,PRÉSTAMOS!S:S)</f>
        <v>Prestaprima</v>
      </c>
      <c r="K70" s="126">
        <f>+IFERROR(_xlfn.XLOOKUP(Contratos[[#This Row],[No. CONTRATO]],CajaTotal[REFERENCIA],CajaTotal[DEBITO]),0)</f>
        <v>0</v>
      </c>
      <c r="L70" s="125" t="str" cm="1">
        <f t="array" ref="L70">+IFERROR(MAX(_xlfn._xlws.FILTER(CajaTotal[FECHA],CajaTotal[REFERENCIA]=Contratos[[#This Row],[No. CONTRATO]])),"")</f>
        <v/>
      </c>
      <c r="M70" t="str">
        <f>+IF(_xlfn.XLOOKUP($A70,PRÉSTAMOS!$D:$D,PRÉSTAMOS!V:V)=0,"",_xlfn.XLOOKUP($A70,PRÉSTAMOS!$D:$D,PRÉSTAMOS!V:V))</f>
        <v/>
      </c>
      <c r="N70" s="125" t="str">
        <f>+IF(_xlfn.XLOOKUP($A70,PRÉSTAMOS!$D:$D,PRÉSTAMOS!W:W)=0,"",_xlfn.XLOOKUP($A70,PRÉSTAMOS!$D:$D,PRÉSTAMOS!W:W))</f>
        <v/>
      </c>
      <c r="O70" s="125" t="str">
        <f>+IF(_xlfn.XLOOKUP($A70,PRÉSTAMOS!$D:$D,PRÉSTAMOS!X:X)=0,"",_xlfn.XLOOKUP($A70,PRÉSTAMOS!$D:$D,PRÉSTAMOS!X:X))</f>
        <v/>
      </c>
      <c r="R70" t="str">
        <f ca="1">+IF(Contratos[[#This Row],[JURIDICO]]=1,"PROCESO JURIDICO",IF(I70&lt;TODAY(),"VENCIDO","ACTIVO"))</f>
        <v>VENCIDO</v>
      </c>
    </row>
    <row r="71" spans="1:19" hidden="1" x14ac:dyDescent="0.25">
      <c r="A71">
        <v>481</v>
      </c>
      <c r="B71">
        <f>+_xlfn.XLOOKUP($A71,PRÉSTAMOS!$D:$D,PRÉSTAMOS!B:B)</f>
        <v>1089721086</v>
      </c>
      <c r="C71" s="126">
        <f>+_xlfn.XLOOKUP($A71,PRÉSTAMOS!$D:$D,PRÉSTAMOS!K:K)</f>
        <v>800000</v>
      </c>
      <c r="D71" s="126" cm="1">
        <f t="array" ref="D71">+ValorProyectado_Aritmetico(C71,0.13,3)</f>
        <v>2612000</v>
      </c>
      <c r="E71" t="str" cm="1">
        <f t="array" ref="E71">+CONVERTIRNUM(D71)</f>
        <v>Dos Millones Seiscientos Doce Mil Pesos</v>
      </c>
      <c r="F71" s="126" cm="1">
        <f t="array" ref="F71">+Honorarios(D71,0.13)</f>
        <v>339560</v>
      </c>
      <c r="G71" s="127">
        <f>+_xlfn.XLOOKUP($A71,PRÉSTAMOS!$D:$D,PRÉSTAMOS!P:P)/100</f>
        <v>0.13</v>
      </c>
      <c r="H71" s="132">
        <v>45069</v>
      </c>
      <c r="I71" s="132">
        <f>+DATE(YEAR(Contratos[[#This Row],[FECHA DESEMBOLSO]]),MONTH(Contratos[[#This Row],[FECHA DESEMBOLSO]])+3,DAY(Contratos[[#This Row],[FECHA DESEMBOLSO]]))</f>
        <v>45161</v>
      </c>
      <c r="J71" t="str">
        <f>+_xlfn.XLOOKUP($A71,PRÉSTAMOS!$D:$D,PRÉSTAMOS!S:S)</f>
        <v>Préstamo</v>
      </c>
      <c r="K71" s="126">
        <f>+IFERROR(_xlfn.XLOOKUP(Contratos[[#This Row],[No. CONTRATO]],CajaTotal[REFERENCIA],CajaTotal[DEBITO]),0)</f>
        <v>0</v>
      </c>
      <c r="L71" s="125" t="str" cm="1">
        <f t="array" ref="L71">+IFERROR(MAX(_xlfn._xlws.FILTER(CajaTotal[FECHA],CajaTotal[REFERENCIA]=Contratos[[#This Row],[No. CONTRATO]])),"")</f>
        <v/>
      </c>
      <c r="M71" t="str">
        <f>+IF(_xlfn.XLOOKUP($A71,PRÉSTAMOS!$D:$D,PRÉSTAMOS!V:V)=0,"",_xlfn.XLOOKUP($A71,PRÉSTAMOS!$D:$D,PRÉSTAMOS!V:V))</f>
        <v>pago total</v>
      </c>
      <c r="N71" s="125">
        <f>+IF(_xlfn.XLOOKUP($A71,PRÉSTAMOS!$D:$D,PRÉSTAMOS!W:W)=0,"",_xlfn.XLOOKUP($A71,PRÉSTAMOS!$D:$D,PRÉSTAMOS!W:W))</f>
        <v>956000</v>
      </c>
      <c r="O71" s="125" t="str">
        <f>+IF(_xlfn.XLOOKUP($A71,PRÉSTAMOS!$D:$D,PRÉSTAMOS!X:X)=0,"",_xlfn.XLOOKUP($A71,PRÉSTAMOS!$D:$D,PRÉSTAMOS!X:X))</f>
        <v/>
      </c>
      <c r="R71" t="str">
        <f ca="1">+IF(Contratos[[#This Row],[JURIDICO]]=1,"PROCESO JURIDICO",IF(I71&lt;TODAY(),"VENCIDO","ACTIVO"))</f>
        <v>VENCIDO</v>
      </c>
    </row>
    <row r="72" spans="1:19" x14ac:dyDescent="0.25">
      <c r="A72">
        <v>482</v>
      </c>
      <c r="B72">
        <f>+_xlfn.XLOOKUP($A72,PRÉSTAMOS!$D:$D,PRÉSTAMOS!B:B)</f>
        <v>33819492</v>
      </c>
      <c r="C72" s="126">
        <f>+_xlfn.XLOOKUP($A72,PRÉSTAMOS!$D:$D,PRÉSTAMOS!K:K)</f>
        <v>17000000</v>
      </c>
      <c r="D72" s="126" cm="1">
        <f t="array" ref="D72">+ValorProyectado_Aritmetico(C72,0.13,3)</f>
        <v>25130000</v>
      </c>
      <c r="E72" t="str" cm="1">
        <f t="array" ref="E72">+CONVERTIRNUM(D72)</f>
        <v>Veinticinco Millones Ciento Treinta Mil Pesos</v>
      </c>
      <c r="F72" s="126" cm="1">
        <f t="array" ref="F72">+Honorarios(D72,0.13)</f>
        <v>3266900</v>
      </c>
      <c r="G72" s="127">
        <f>+_xlfn.XLOOKUP($A72,PRÉSTAMOS!$D:$D,PRÉSTAMOS!P:P)/100</f>
        <v>0.13</v>
      </c>
      <c r="H72" s="132">
        <v>45069</v>
      </c>
      <c r="I72" s="132">
        <f>+DATE(YEAR(Contratos[[#This Row],[FECHA DESEMBOLSO]]),MONTH(Contratos[[#This Row],[FECHA DESEMBOLSO]])+3,DAY(Contratos[[#This Row],[FECHA DESEMBOLSO]]))</f>
        <v>45161</v>
      </c>
      <c r="J72" t="str">
        <f>+_xlfn.XLOOKUP($A72,PRÉSTAMOS!$D:$D,PRÉSTAMOS!S:S)</f>
        <v>Normalización</v>
      </c>
      <c r="K72" s="126">
        <f>+IFERROR(_xlfn.XLOOKUP(Contratos[[#This Row],[No. CONTRATO]],CajaTotal[REFERENCIA],CajaTotal[DEBITO]),0)</f>
        <v>0</v>
      </c>
      <c r="L72" s="125" t="str" cm="1">
        <f t="array" ref="L72">+IFERROR(MAX(_xlfn._xlws.FILTER(CajaTotal[FECHA],CajaTotal[REFERENCIA]=Contratos[[#This Row],[No. CONTRATO]])),"")</f>
        <v/>
      </c>
      <c r="M72" t="str">
        <f>+IF(_xlfn.XLOOKUP($A72,PRÉSTAMOS!$D:$D,PRÉSTAMOS!V:V)=0,"",_xlfn.XLOOKUP($A72,PRÉSTAMOS!$D:$D,PRÉSTAMOS!V:V))</f>
        <v/>
      </c>
      <c r="N72" s="125" t="str">
        <f>+IF(_xlfn.XLOOKUP($A72,PRÉSTAMOS!$D:$D,PRÉSTAMOS!W:W)=0,"",_xlfn.XLOOKUP($A72,PRÉSTAMOS!$D:$D,PRÉSTAMOS!W:W))</f>
        <v/>
      </c>
      <c r="O72" s="125" t="str">
        <f>+IF(_xlfn.XLOOKUP($A72,PRÉSTAMOS!$D:$D,PRÉSTAMOS!X:X)=0,"",_xlfn.XLOOKUP($A72,PRÉSTAMOS!$D:$D,PRÉSTAMOS!X:X))</f>
        <v/>
      </c>
      <c r="R72" t="str">
        <f ca="1">+IF(Contratos[[#This Row],[JURIDICO]]=1,"PROCESO JURIDICO",IF(I72&lt;TODAY(),"VENCIDO","ACTIVO"))</f>
        <v>VENCIDO</v>
      </c>
    </row>
    <row r="73" spans="1:19" x14ac:dyDescent="0.25">
      <c r="A73">
        <v>483</v>
      </c>
      <c r="B73">
        <f>+_xlfn.XLOOKUP($A73,PRÉSTAMOS!$D:$D,PRÉSTAMOS!B:B)</f>
        <v>42053061</v>
      </c>
      <c r="C73" s="126">
        <f>+_xlfn.XLOOKUP($A73,PRÉSTAMOS!$D:$D,PRÉSTAMOS!K:K)</f>
        <v>1500000</v>
      </c>
      <c r="D73" s="126" cm="1">
        <f t="array" ref="D73">+ValorProyectado_Aritmetico(C73,0.13,3)</f>
        <v>3585000</v>
      </c>
      <c r="E73" t="str" cm="1">
        <f t="array" ref="E73">+CONVERTIRNUM(D73)</f>
        <v>Tres Millones Quinientos Ochenta y Cinco Mil Pesos</v>
      </c>
      <c r="F73" s="126" cm="1">
        <f t="array" ref="F73">+Honorarios(D73,0.13)</f>
        <v>466050</v>
      </c>
      <c r="G73" s="127">
        <f>+_xlfn.XLOOKUP($A73,PRÉSTAMOS!$D:$D,PRÉSTAMOS!P:P)/100</f>
        <v>6.5000000000000002E-2</v>
      </c>
      <c r="H73" s="132">
        <v>45075</v>
      </c>
      <c r="I73" s="132">
        <f>+DATE(YEAR(Contratos[[#This Row],[FECHA DESEMBOLSO]]),MONTH(Contratos[[#This Row],[FECHA DESEMBOLSO]])+3,DAY(Contratos[[#This Row],[FECHA DESEMBOLSO]]))</f>
        <v>45167</v>
      </c>
      <c r="J73" t="str">
        <f>+_xlfn.XLOOKUP($A73,PRÉSTAMOS!$D:$D,PRÉSTAMOS!S:S)</f>
        <v>Préstamo</v>
      </c>
      <c r="K73" s="126">
        <f>+IFERROR(_xlfn.XLOOKUP(Contratos[[#This Row],[No. CONTRATO]],CajaTotal[REFERENCIA],CajaTotal[DEBITO]),0)</f>
        <v>0</v>
      </c>
      <c r="L73" s="125" t="str" cm="1">
        <f t="array" ref="L73">+IFERROR(MAX(_xlfn._xlws.FILTER(CajaTotal[FECHA],CajaTotal[REFERENCIA]=Contratos[[#This Row],[No. CONTRATO]])),"")</f>
        <v/>
      </c>
      <c r="M73" t="str">
        <f>+IF(_xlfn.XLOOKUP($A73,PRÉSTAMOS!$D:$D,PRÉSTAMOS!V:V)=0,"",_xlfn.XLOOKUP($A73,PRÉSTAMOS!$D:$D,PRÉSTAMOS!V:V))</f>
        <v/>
      </c>
      <c r="N73" s="125" t="str">
        <f>+IF(_xlfn.XLOOKUP($A73,PRÉSTAMOS!$D:$D,PRÉSTAMOS!W:W)=0,"",_xlfn.XLOOKUP($A73,PRÉSTAMOS!$D:$D,PRÉSTAMOS!W:W))</f>
        <v/>
      </c>
      <c r="O73" s="125" t="str">
        <f>+IF(_xlfn.XLOOKUP($A73,PRÉSTAMOS!$D:$D,PRÉSTAMOS!X:X)=0,"",_xlfn.XLOOKUP($A73,PRÉSTAMOS!$D:$D,PRÉSTAMOS!X:X))</f>
        <v/>
      </c>
      <c r="R73" t="str">
        <f ca="1">+IF(Contratos[[#This Row],[JURIDICO]]=1,"PROCESO JURIDICO",IF(I73&lt;TODAY(),"VENCIDO","ACTIVO"))</f>
        <v>VENCIDO</v>
      </c>
    </row>
    <row r="74" spans="1:19" x14ac:dyDescent="0.25">
      <c r="A74">
        <v>484</v>
      </c>
      <c r="B74">
        <f>+_xlfn.XLOOKUP($A74,PRÉSTAMOS!$D:$D,PRÉSTAMOS!B:B)</f>
        <v>10100068</v>
      </c>
      <c r="C74" s="126">
        <f>+_xlfn.XLOOKUP($A74,PRÉSTAMOS!$D:$D,PRÉSTAMOS!K:K)</f>
        <v>4000000</v>
      </c>
      <c r="D74" s="126" cm="1">
        <f t="array" ref="D74">+ValorProyectado_Aritmetico(C74,0.13,3)</f>
        <v>7060000</v>
      </c>
      <c r="E74" t="str" cm="1">
        <f t="array" ref="E74">+CONVERTIRNUM(D74)</f>
        <v>Siete Millones Sesenta Mil Pesos</v>
      </c>
      <c r="F74" s="126" cm="1">
        <f t="array" ref="F74">+Honorarios(D74,0.13)</f>
        <v>917800</v>
      </c>
      <c r="G74" s="127">
        <f>+_xlfn.XLOOKUP($A74,PRÉSTAMOS!$D:$D,PRÉSTAMOS!P:P)/100</f>
        <v>0.13</v>
      </c>
      <c r="H74" s="132">
        <v>45076</v>
      </c>
      <c r="I74" s="132">
        <f>+DATE(YEAR(Contratos[[#This Row],[FECHA DESEMBOLSO]]),MONTH(Contratos[[#This Row],[FECHA DESEMBOLSO]])+3,DAY(Contratos[[#This Row],[FECHA DESEMBOLSO]]))</f>
        <v>45168</v>
      </c>
      <c r="J74" t="str">
        <f>+_xlfn.XLOOKUP($A74,PRÉSTAMOS!$D:$D,PRÉSTAMOS!S:S)</f>
        <v>Préstamo</v>
      </c>
      <c r="K74" s="126">
        <f>+IFERROR(_xlfn.XLOOKUP(Contratos[[#This Row],[No. CONTRATO]],CajaTotal[REFERENCIA],CajaTotal[DEBITO]),0)</f>
        <v>5560000</v>
      </c>
      <c r="L74" s="125" cm="1">
        <f t="array" ref="L74">+IFERROR(MAX(_xlfn._xlws.FILTER(CajaTotal[FECHA],CajaTotal[REFERENCIA]=Contratos[[#This Row],[No. CONTRATO]])),"")</f>
        <v>45166</v>
      </c>
      <c r="M74" t="str">
        <f>+IF(_xlfn.XLOOKUP($A74,PRÉSTAMOS!$D:$D,PRÉSTAMOS!V:V)=0,"",_xlfn.XLOOKUP($A74,PRÉSTAMOS!$D:$D,PRÉSTAMOS!V:V))</f>
        <v/>
      </c>
      <c r="N74" s="125" t="str">
        <f>+IF(_xlfn.XLOOKUP($A74,PRÉSTAMOS!$D:$D,PRÉSTAMOS!W:W)=0,"",_xlfn.XLOOKUP($A74,PRÉSTAMOS!$D:$D,PRÉSTAMOS!W:W))</f>
        <v/>
      </c>
      <c r="O74" s="125" t="str">
        <f>+IF(_xlfn.XLOOKUP($A74,PRÉSTAMOS!$D:$D,PRÉSTAMOS!X:X)=0,"",_xlfn.XLOOKUP($A74,PRÉSTAMOS!$D:$D,PRÉSTAMOS!X:X))</f>
        <v>JAVIER VALENCIA</v>
      </c>
      <c r="R74" t="str">
        <f ca="1">+IF(Contratos[[#This Row],[JURIDICO]]=1,"PROCESO JURIDICO",IF(I74&lt;TODAY(),"VENCIDO","ACTIVO"))</f>
        <v>VENCIDO</v>
      </c>
    </row>
    <row r="75" spans="1:19" x14ac:dyDescent="0.25">
      <c r="A75">
        <v>485</v>
      </c>
      <c r="B75">
        <f>+_xlfn.XLOOKUP($A75,PRÉSTAMOS!$D:$D,PRÉSTAMOS!B:B)</f>
        <v>25056635</v>
      </c>
      <c r="C75" s="126">
        <f>+_xlfn.XLOOKUP($A75,PRÉSTAMOS!$D:$D,PRÉSTAMOS!K:K)</f>
        <v>700000</v>
      </c>
      <c r="D75" s="126" cm="1">
        <f t="array" ref="D75">+ValorProyectado_Aritmetico(C75,0.13,3)</f>
        <v>2473000</v>
      </c>
      <c r="E75" t="str" cm="1">
        <f t="array" ref="E75">+CONVERTIRNUM(D75)</f>
        <v>Dos Millones Cuatrocientos Setenta y Tres Mil Pesos</v>
      </c>
      <c r="F75" s="126" cm="1">
        <f t="array" ref="F75">+Honorarios(D75,0.13)</f>
        <v>321490</v>
      </c>
      <c r="G75" s="127">
        <f>+_xlfn.XLOOKUP($A75,PRÉSTAMOS!$D:$D,PRÉSTAMOS!P:P)/100</f>
        <v>0.13</v>
      </c>
      <c r="H75" s="132">
        <v>45079</v>
      </c>
      <c r="I75" s="132">
        <f>+DATE(YEAR(Contratos[[#This Row],[FECHA DESEMBOLSO]]),MONTH(Contratos[[#This Row],[FECHA DESEMBOLSO]])+3,DAY(Contratos[[#This Row],[FECHA DESEMBOLSO]]))</f>
        <v>45171</v>
      </c>
      <c r="J75" t="str">
        <f>+_xlfn.XLOOKUP($A75,PRÉSTAMOS!$D:$D,PRÉSTAMOS!S:S)</f>
        <v>Préstamo</v>
      </c>
      <c r="K75" s="126">
        <f>+IFERROR(_xlfn.XLOOKUP(Contratos[[#This Row],[No. CONTRATO]],CajaTotal[REFERENCIA],CajaTotal[DEBITO]),0)</f>
        <v>0</v>
      </c>
      <c r="L75" s="125" t="str" cm="1">
        <f t="array" ref="L75">+IFERROR(MAX(_xlfn._xlws.FILTER(CajaTotal[FECHA],CajaTotal[REFERENCIA]=Contratos[[#This Row],[No. CONTRATO]])),"")</f>
        <v/>
      </c>
      <c r="M75" t="str">
        <f>+IF(_xlfn.XLOOKUP($A75,PRÉSTAMOS!$D:$D,PRÉSTAMOS!V:V)=0,"",_xlfn.XLOOKUP($A75,PRÉSTAMOS!$D:$D,PRÉSTAMOS!V:V))</f>
        <v/>
      </c>
      <c r="N75" s="125" t="str">
        <f>+IF(_xlfn.XLOOKUP($A75,PRÉSTAMOS!$D:$D,PRÉSTAMOS!W:W)=0,"",_xlfn.XLOOKUP($A75,PRÉSTAMOS!$D:$D,PRÉSTAMOS!W:W))</f>
        <v/>
      </c>
      <c r="O75" s="125" t="str">
        <f>+IF(_xlfn.XLOOKUP($A75,PRÉSTAMOS!$D:$D,PRÉSTAMOS!X:X)=0,"",_xlfn.XLOOKUP($A75,PRÉSTAMOS!$D:$D,PRÉSTAMOS!X:X))</f>
        <v>SERGIO RAMÍREZ</v>
      </c>
      <c r="R75" t="str">
        <f ca="1">+IF(Contratos[[#This Row],[JURIDICO]]=1,"PROCESO JURIDICO",IF(I75&lt;TODAY(),"VENCIDO","ACTIVO"))</f>
        <v>VENCIDO</v>
      </c>
    </row>
    <row r="76" spans="1:19" hidden="1" x14ac:dyDescent="0.25">
      <c r="A76">
        <v>486</v>
      </c>
      <c r="B76">
        <f>+_xlfn.XLOOKUP($A76,PRÉSTAMOS!$D:$D,PRÉSTAMOS!B:B)</f>
        <v>10106423</v>
      </c>
      <c r="C76" s="126">
        <f>+_xlfn.XLOOKUP($A76,PRÉSTAMOS!$D:$D,PRÉSTAMOS!K:K)</f>
        <v>700000</v>
      </c>
      <c r="D76" s="126" cm="1">
        <f t="array" ref="D76">+ValorProyectado_Aritmetico(C76,0.13,3)</f>
        <v>2473000</v>
      </c>
      <c r="E76" t="str" cm="1">
        <f t="array" ref="E76">+CONVERTIRNUM(D76)</f>
        <v>Dos Millones Cuatrocientos Setenta y Tres Mil Pesos</v>
      </c>
      <c r="F76" s="126" cm="1">
        <f t="array" ref="F76">+Honorarios(D76,0.13)</f>
        <v>321490</v>
      </c>
      <c r="G76" s="127">
        <f>+_xlfn.XLOOKUP($A76,PRÉSTAMOS!$D:$D,PRÉSTAMOS!P:P)/100</f>
        <v>0.13</v>
      </c>
      <c r="H76" s="132">
        <v>45079</v>
      </c>
      <c r="I76" s="132">
        <f>+DATE(YEAR(Contratos[[#This Row],[FECHA DESEMBOLSO]]),MONTH(Contratos[[#This Row],[FECHA DESEMBOLSO]])+3,DAY(Contratos[[#This Row],[FECHA DESEMBOLSO]]))</f>
        <v>45171</v>
      </c>
      <c r="J76" t="str">
        <f>+_xlfn.XLOOKUP($A76,PRÉSTAMOS!$D:$D,PRÉSTAMOS!S:S)</f>
        <v>Préstamo</v>
      </c>
      <c r="K76" s="126">
        <f>+IFERROR(_xlfn.XLOOKUP(Contratos[[#This Row],[No. CONTRATO]],CajaTotal[REFERENCIA],CajaTotal[DEBITO]),0)</f>
        <v>0</v>
      </c>
      <c r="L76" s="125" t="str" cm="1">
        <f t="array" ref="L76">+IFERROR(MAX(_xlfn._xlws.FILTER(CajaTotal[FECHA],CajaTotal[REFERENCIA]=Contratos[[#This Row],[No. CONTRATO]])),"")</f>
        <v/>
      </c>
      <c r="M76" t="str">
        <f>+IF(_xlfn.XLOOKUP($A76,PRÉSTAMOS!$D:$D,PRÉSTAMOS!V:V)=0,"",_xlfn.XLOOKUP($A76,PRÉSTAMOS!$D:$D,PRÉSTAMOS!V:V))</f>
        <v>pago total</v>
      </c>
      <c r="N76" s="125">
        <f>+IF(_xlfn.XLOOKUP($A76,PRÉSTAMOS!$D:$D,PRÉSTAMOS!W:W)=0,"",_xlfn.XLOOKUP($A76,PRÉSTAMOS!$D:$D,PRÉSTAMOS!W:W))</f>
        <v>45114</v>
      </c>
      <c r="O76" s="125" t="str">
        <f>+IF(_xlfn.XLOOKUP($A76,PRÉSTAMOS!$D:$D,PRÉSTAMOS!X:X)=0,"",_xlfn.XLOOKUP($A76,PRÉSTAMOS!$D:$D,PRÉSTAMOS!X:X))</f>
        <v/>
      </c>
      <c r="R76" t="str">
        <f ca="1">+IF(Contratos[[#This Row],[JURIDICO]]=1,"PROCESO JURIDICO",IF(I76&lt;TODAY(),"VENCIDO","ACTIVO"))</f>
        <v>VENCIDO</v>
      </c>
    </row>
    <row r="77" spans="1:19" x14ac:dyDescent="0.25">
      <c r="A77">
        <v>487</v>
      </c>
      <c r="B77">
        <f>+_xlfn.XLOOKUP($A77,PRÉSTAMOS!$D:$D,PRÉSTAMOS!B:B)</f>
        <v>94227972</v>
      </c>
      <c r="C77" s="126">
        <f>+_xlfn.XLOOKUP($A77,PRÉSTAMOS!$D:$D,PRÉSTAMOS!K:K)</f>
        <v>1000000</v>
      </c>
      <c r="D77" s="126" cm="1">
        <f t="array" ref="D77">+ValorProyectado_Aritmetico(C77,0.13,3)</f>
        <v>2890000</v>
      </c>
      <c r="E77" t="str" cm="1">
        <f t="array" ref="E77">+CONVERTIRNUM(D77)</f>
        <v>Dos Millones Ochocientos Noventa Mil Pesos</v>
      </c>
      <c r="F77" s="126" cm="1">
        <f t="array" ref="F77">+Honorarios(D77,0.13)</f>
        <v>375700</v>
      </c>
      <c r="G77" s="127">
        <f>+_xlfn.XLOOKUP($A77,PRÉSTAMOS!$D:$D,PRÉSTAMOS!P:P)/100</f>
        <v>0.13</v>
      </c>
      <c r="H77" s="132">
        <v>45084</v>
      </c>
      <c r="I77" s="132">
        <f>+DATE(YEAR(Contratos[[#This Row],[FECHA DESEMBOLSO]]),MONTH(Contratos[[#This Row],[FECHA DESEMBOLSO]])+3,DAY(Contratos[[#This Row],[FECHA DESEMBOLSO]]))</f>
        <v>45176</v>
      </c>
      <c r="J77" t="str">
        <f>+_xlfn.XLOOKUP($A77,PRÉSTAMOS!$D:$D,PRÉSTAMOS!S:S)</f>
        <v>Adelanto</v>
      </c>
      <c r="K77" s="126">
        <f>+IFERROR(_xlfn.XLOOKUP(Contratos[[#This Row],[No. CONTRATO]],CajaTotal[REFERENCIA],CajaTotal[DEBITO]),0)</f>
        <v>0</v>
      </c>
      <c r="L77" s="125" t="str" cm="1">
        <f t="array" ref="L77">+IFERROR(MAX(_xlfn._xlws.FILTER(CajaTotal[FECHA],CajaTotal[REFERENCIA]=Contratos[[#This Row],[No. CONTRATO]])),"")</f>
        <v/>
      </c>
      <c r="M77" t="str">
        <f>+IF(_xlfn.XLOOKUP($A77,PRÉSTAMOS!$D:$D,PRÉSTAMOS!V:V)=0,"",_xlfn.XLOOKUP($A77,PRÉSTAMOS!$D:$D,PRÉSTAMOS!V:V))</f>
        <v/>
      </c>
      <c r="N77" s="125" t="str">
        <f>+IF(_xlfn.XLOOKUP($A77,PRÉSTAMOS!$D:$D,PRÉSTAMOS!W:W)=0,"",_xlfn.XLOOKUP($A77,PRÉSTAMOS!$D:$D,PRÉSTAMOS!W:W))</f>
        <v/>
      </c>
      <c r="O77" s="125" t="str">
        <f>+IF(_xlfn.XLOOKUP($A77,PRÉSTAMOS!$D:$D,PRÉSTAMOS!X:X)=0,"",_xlfn.XLOOKUP($A77,PRÉSTAMOS!$D:$D,PRÉSTAMOS!X:X))</f>
        <v>JULIÁN RENDÓN</v>
      </c>
      <c r="R77" t="str">
        <f ca="1">+IF(Contratos[[#This Row],[JURIDICO]]=1,"PROCESO JURIDICO",IF(I77&lt;TODAY(),"VENCIDO","ACTIVO"))</f>
        <v>VENCIDO</v>
      </c>
    </row>
    <row r="78" spans="1:19" x14ac:dyDescent="0.25">
      <c r="A78">
        <v>488</v>
      </c>
      <c r="B78">
        <f>+_xlfn.XLOOKUP($A78,PRÉSTAMOS!$D:$D,PRÉSTAMOS!B:B)</f>
        <v>10240812</v>
      </c>
      <c r="C78" s="126">
        <f>+_xlfn.XLOOKUP($A78,PRÉSTAMOS!$D:$D,PRÉSTAMOS!K:K)</f>
        <v>1000000</v>
      </c>
      <c r="D78" s="126" cm="1">
        <f t="array" ref="D78">+ValorProyectado_Aritmetico(C78,0.13,3)</f>
        <v>2890000</v>
      </c>
      <c r="E78" t="str" cm="1">
        <f t="array" ref="E78">+CONVERTIRNUM(D78)</f>
        <v>Dos Millones Ochocientos Noventa Mil Pesos</v>
      </c>
      <c r="F78" s="126" cm="1">
        <f t="array" ref="F78">+Honorarios(D78,0.13)</f>
        <v>375700</v>
      </c>
      <c r="G78" s="127">
        <f>+_xlfn.XLOOKUP($A78,PRÉSTAMOS!$D:$D,PRÉSTAMOS!P:P)/100</f>
        <v>0.13</v>
      </c>
      <c r="H78" s="132">
        <v>45085</v>
      </c>
      <c r="I78" s="132">
        <f>+DATE(YEAR(Contratos[[#This Row],[FECHA DESEMBOLSO]]),MONTH(Contratos[[#This Row],[FECHA DESEMBOLSO]])+3,DAY(Contratos[[#This Row],[FECHA DESEMBOLSO]]))</f>
        <v>45177</v>
      </c>
      <c r="J78" t="str">
        <f>+_xlfn.XLOOKUP($A78,PRÉSTAMOS!$D:$D,PRÉSTAMOS!S:S)</f>
        <v>Adelanto</v>
      </c>
      <c r="K78" s="126">
        <f>+IFERROR(_xlfn.XLOOKUP(Contratos[[#This Row],[No. CONTRATO]],CajaTotal[REFERENCIA],CajaTotal[DEBITO]),0)</f>
        <v>0</v>
      </c>
      <c r="L78" s="125" t="str" cm="1">
        <f t="array" ref="L78">+IFERROR(MAX(_xlfn._xlws.FILTER(CajaTotal[FECHA],CajaTotal[REFERENCIA]=Contratos[[#This Row],[No. CONTRATO]])),"")</f>
        <v/>
      </c>
      <c r="M78" t="str">
        <f>+IF(_xlfn.XLOOKUP($A78,PRÉSTAMOS!$D:$D,PRÉSTAMOS!V:V)=0,"",_xlfn.XLOOKUP($A78,PRÉSTAMOS!$D:$D,PRÉSTAMOS!V:V))</f>
        <v/>
      </c>
      <c r="N78" s="125" t="str">
        <f>+IF(_xlfn.XLOOKUP($A78,PRÉSTAMOS!$D:$D,PRÉSTAMOS!W:W)=0,"",_xlfn.XLOOKUP($A78,PRÉSTAMOS!$D:$D,PRÉSTAMOS!W:W))</f>
        <v/>
      </c>
      <c r="O78" s="125" t="str">
        <f>+IF(_xlfn.XLOOKUP($A78,PRÉSTAMOS!$D:$D,PRÉSTAMOS!X:X)=0,"",_xlfn.XLOOKUP($A78,PRÉSTAMOS!$D:$D,PRÉSTAMOS!X:X))</f>
        <v>SERGIO RAMÍREZ</v>
      </c>
      <c r="R78" t="str">
        <f ca="1">+IF(Contratos[[#This Row],[JURIDICO]]=1,"PROCESO JURIDICO",IF(I78&lt;TODAY(),"VENCIDO","ACTIVO"))</f>
        <v>VENCIDO</v>
      </c>
    </row>
    <row r="79" spans="1:19" x14ac:dyDescent="0.25">
      <c r="A79">
        <v>489</v>
      </c>
      <c r="B79">
        <f>+_xlfn.XLOOKUP($A79,PRÉSTAMOS!$D:$D,PRÉSTAMOS!B:B)</f>
        <v>9955716</v>
      </c>
      <c r="C79" s="126">
        <f>+_xlfn.XLOOKUP($A79,PRÉSTAMOS!$D:$D,PRÉSTAMOS!K:K)</f>
        <v>1000000</v>
      </c>
      <c r="D79" s="126" cm="1">
        <f t="array" ref="D79">+ValorProyectado_Aritmetico(C79,0.13,3)</f>
        <v>2890000</v>
      </c>
      <c r="E79" t="str" cm="1">
        <f t="array" ref="E79">+CONVERTIRNUM(D79)</f>
        <v>Dos Millones Ochocientos Noventa Mil Pesos</v>
      </c>
      <c r="F79" s="126" cm="1">
        <f t="array" ref="F79">+Honorarios(D79,0.13)</f>
        <v>375700</v>
      </c>
      <c r="G79" s="127">
        <f>+_xlfn.XLOOKUP($A79,PRÉSTAMOS!$D:$D,PRÉSTAMOS!P:P)/100</f>
        <v>0.13</v>
      </c>
      <c r="H79" s="132">
        <v>45085</v>
      </c>
      <c r="I79" s="132">
        <f>+DATE(YEAR(Contratos[[#This Row],[FECHA DESEMBOLSO]]),MONTH(Contratos[[#This Row],[FECHA DESEMBOLSO]])+3,DAY(Contratos[[#This Row],[FECHA DESEMBOLSO]]))</f>
        <v>45177</v>
      </c>
      <c r="J79" t="str">
        <f>+_xlfn.XLOOKUP($A79,PRÉSTAMOS!$D:$D,PRÉSTAMOS!S:S)</f>
        <v>Adelanto</v>
      </c>
      <c r="K79" s="126">
        <f>+IFERROR(_xlfn.XLOOKUP(Contratos[[#This Row],[No. CONTRATO]],CajaTotal[REFERENCIA],CajaTotal[DEBITO]),0)</f>
        <v>0</v>
      </c>
      <c r="L79" s="125" t="str" cm="1">
        <f t="array" ref="L79">+IFERROR(MAX(_xlfn._xlws.FILTER(CajaTotal[FECHA],CajaTotal[REFERENCIA]=Contratos[[#This Row],[No. CONTRATO]])),"")</f>
        <v/>
      </c>
      <c r="M79" t="str">
        <f>+IF(_xlfn.XLOOKUP($A79,PRÉSTAMOS!$D:$D,PRÉSTAMOS!V:V)=0,"",_xlfn.XLOOKUP($A79,PRÉSTAMOS!$D:$D,PRÉSTAMOS!V:V))</f>
        <v/>
      </c>
      <c r="N79" s="125" t="str">
        <f>+IF(_xlfn.XLOOKUP($A79,PRÉSTAMOS!$D:$D,PRÉSTAMOS!W:W)=0,"",_xlfn.XLOOKUP($A79,PRÉSTAMOS!$D:$D,PRÉSTAMOS!W:W))</f>
        <v/>
      </c>
      <c r="O79" s="125" t="str">
        <f>+IF(_xlfn.XLOOKUP($A79,PRÉSTAMOS!$D:$D,PRÉSTAMOS!X:X)=0,"",_xlfn.XLOOKUP($A79,PRÉSTAMOS!$D:$D,PRÉSTAMOS!X:X))</f>
        <v>SERGIO RAMÍREZ</v>
      </c>
      <c r="R79" t="str">
        <f ca="1">+IF(Contratos[[#This Row],[JURIDICO]]=1,"PROCESO JURIDICO",IF(I79&lt;TODAY(),"VENCIDO","ACTIVO"))</f>
        <v>VENCIDO</v>
      </c>
    </row>
    <row r="80" spans="1:19" x14ac:dyDescent="0.25">
      <c r="A80">
        <v>490</v>
      </c>
      <c r="B80">
        <f>+_xlfn.XLOOKUP($A80,PRÉSTAMOS!$D:$D,PRÉSTAMOS!B:B)</f>
        <v>10095572</v>
      </c>
      <c r="C80" s="126">
        <f>+_xlfn.XLOOKUP($A80,PRÉSTAMOS!$D:$D,PRÉSTAMOS!K:K)</f>
        <v>1000000</v>
      </c>
      <c r="D80" s="126" cm="1">
        <f t="array" ref="D80">+ValorProyectado_Aritmetico(C80,0.13,3)</f>
        <v>2890000</v>
      </c>
      <c r="E80" t="str" cm="1">
        <f t="array" ref="E80">+CONVERTIRNUM(D80)</f>
        <v>Dos Millones Ochocientos Noventa Mil Pesos</v>
      </c>
      <c r="F80" s="126" cm="1">
        <f t="array" ref="F80">+Honorarios(D80,0.13)</f>
        <v>375700</v>
      </c>
      <c r="G80" s="127">
        <f>+_xlfn.XLOOKUP($A80,PRÉSTAMOS!$D:$D,PRÉSTAMOS!P:P)/100</f>
        <v>0.13</v>
      </c>
      <c r="H80" s="132">
        <v>45091</v>
      </c>
      <c r="I80" s="132">
        <f>+DATE(YEAR(Contratos[[#This Row],[FECHA DESEMBOLSO]]),MONTH(Contratos[[#This Row],[FECHA DESEMBOLSO]])+3,DAY(Contratos[[#This Row],[FECHA DESEMBOLSO]]))</f>
        <v>45183</v>
      </c>
      <c r="J80" t="str">
        <f>+_xlfn.XLOOKUP($A80,PRÉSTAMOS!$D:$D,PRÉSTAMOS!S:S)</f>
        <v>Adelanto</v>
      </c>
      <c r="K80" s="126">
        <f>+IFERROR(_xlfn.XLOOKUP(Contratos[[#This Row],[No. CONTRATO]],CajaTotal[REFERENCIA],CajaTotal[DEBITO]),0)</f>
        <v>0</v>
      </c>
      <c r="L80" s="125" t="str" cm="1">
        <f t="array" ref="L80">+IFERROR(MAX(_xlfn._xlws.FILTER(CajaTotal[FECHA],CajaTotal[REFERENCIA]=Contratos[[#This Row],[No. CONTRATO]])),"")</f>
        <v/>
      </c>
      <c r="M80" t="str">
        <f>+IF(_xlfn.XLOOKUP($A80,PRÉSTAMOS!$D:$D,PRÉSTAMOS!V:V)=0,"",_xlfn.XLOOKUP($A80,PRÉSTAMOS!$D:$D,PRÉSTAMOS!V:V))</f>
        <v/>
      </c>
      <c r="N80" s="125" t="str">
        <f>+IF(_xlfn.XLOOKUP($A80,PRÉSTAMOS!$D:$D,PRÉSTAMOS!W:W)=0,"",_xlfn.XLOOKUP($A80,PRÉSTAMOS!$D:$D,PRÉSTAMOS!W:W))</f>
        <v/>
      </c>
      <c r="O80" s="125" t="str">
        <f>+IF(_xlfn.XLOOKUP($A80,PRÉSTAMOS!$D:$D,PRÉSTAMOS!X:X)=0,"",_xlfn.XLOOKUP($A80,PRÉSTAMOS!$D:$D,PRÉSTAMOS!X:X))</f>
        <v>SERGIO RAMÍREZ</v>
      </c>
      <c r="R80" t="str">
        <f ca="1">+IF(Contratos[[#This Row],[JURIDICO]]=1,"PROCESO JURIDICO",IF(I80&lt;TODAY(),"VENCIDO","ACTIVO"))</f>
        <v>VENCIDO</v>
      </c>
    </row>
    <row r="81" spans="1:18" x14ac:dyDescent="0.25">
      <c r="A81" t="s">
        <v>418</v>
      </c>
      <c r="B81">
        <f>+_xlfn.XLOOKUP($A81,PRÉSTAMOS!$D:$D,PRÉSTAMOS!B:B)</f>
        <v>10032573</v>
      </c>
      <c r="C81" s="126">
        <f>+_xlfn.XLOOKUP($A81,PRÉSTAMOS!$D:$D,PRÉSTAMOS!K:K)</f>
        <v>14000000</v>
      </c>
      <c r="D81" s="126" cm="1">
        <f t="array" ref="D81">+ValorProyectado_Aritmetico(C81,0.13,3)</f>
        <v>20960000</v>
      </c>
      <c r="E81" t="str" cm="1">
        <f t="array" ref="E81">+CONVERTIRNUM(D81)</f>
        <v>Veinte Millones Novecientos Sesenta Mil Pesos</v>
      </c>
      <c r="F81" s="126" cm="1">
        <f t="array" ref="F81">+Honorarios(D81,0.13)</f>
        <v>2724800</v>
      </c>
      <c r="G81" s="127">
        <f>+_xlfn.XLOOKUP($A81,PRÉSTAMOS!$D:$D,PRÉSTAMOS!P:P)/100</f>
        <v>0.13</v>
      </c>
      <c r="H81" s="132">
        <v>44940</v>
      </c>
      <c r="I81" s="132">
        <f>+DATE(YEAR(Contratos[[#This Row],[FECHA DESEMBOLSO]]),MONTH(Contratos[[#This Row],[FECHA DESEMBOLSO]])+3,DAY(Contratos[[#This Row],[FECHA DESEMBOLSO]]))</f>
        <v>45030</v>
      </c>
      <c r="J81" t="str">
        <f>+_xlfn.XLOOKUP($A81,PRÉSTAMOS!$D:$D,PRÉSTAMOS!S:S)</f>
        <v>Adelanto</v>
      </c>
      <c r="K81" s="126">
        <f>+IFERROR(_xlfn.XLOOKUP(Contratos[[#This Row],[No. CONTRATO]],CajaTotal[REFERENCIA],CajaTotal[DEBITO]),0)</f>
        <v>0</v>
      </c>
      <c r="L81" s="125" t="str" cm="1">
        <f t="array" ref="L81">+IFERROR(MAX(_xlfn._xlws.FILTER(CajaTotal[FECHA],CajaTotal[REFERENCIA]=Contratos[[#This Row],[No. CONTRATO]])),"")</f>
        <v/>
      </c>
      <c r="M81" t="str">
        <f>+IF(_xlfn.XLOOKUP($A81,PRÉSTAMOS!$D:$D,PRÉSTAMOS!V:V)=0,"",_xlfn.XLOOKUP($A81,PRÉSTAMOS!$D:$D,PRÉSTAMOS!V:V))</f>
        <v/>
      </c>
      <c r="N81" s="125" t="str">
        <f>+IF(_xlfn.XLOOKUP($A81,PRÉSTAMOS!$D:$D,PRÉSTAMOS!W:W)=0,"",_xlfn.XLOOKUP($A81,PRÉSTAMOS!$D:$D,PRÉSTAMOS!W:W))</f>
        <v/>
      </c>
      <c r="O81" s="125" t="str">
        <f>+IF(_xlfn.XLOOKUP($A81,PRÉSTAMOS!$D:$D,PRÉSTAMOS!X:X)=0,"",_xlfn.XLOOKUP($A81,PRÉSTAMOS!$D:$D,PRÉSTAMOS!X:X))</f>
        <v>EMBARGO ESTRATÉGICO</v>
      </c>
      <c r="R81" t="str">
        <f ca="1">+IF(Contratos[[#This Row],[JURIDICO]]=1,"PROCESO JURIDICO",IF(I81&lt;TODAY(),"VENCIDO","ACTIVO"))</f>
        <v>VENCIDO</v>
      </c>
    </row>
    <row r="82" spans="1:18" x14ac:dyDescent="0.25">
      <c r="A82">
        <v>491</v>
      </c>
      <c r="B82">
        <f>+_xlfn.XLOOKUP($A82,PRÉSTAMOS!$D:$D,PRÉSTAMOS!B:B)</f>
        <v>82382954</v>
      </c>
      <c r="C82" s="126">
        <f>+_xlfn.XLOOKUP($A82,PRÉSTAMOS!$D:$D,PRÉSTAMOS!K:K)</f>
        <v>2000000</v>
      </c>
      <c r="D82" s="126" cm="1">
        <f t="array" ref="D82">+ValorProyectado_Aritmetico(C82,0.13,3)</f>
        <v>4280000</v>
      </c>
      <c r="E82" t="str" cm="1">
        <f t="array" ref="E82">+CONVERTIRNUM(D82)</f>
        <v>Cuatro Millones Doscientos Ochenta Mil Pesos</v>
      </c>
      <c r="F82" s="126" cm="1">
        <f t="array" ref="F82">+Honorarios(D82,0.13)</f>
        <v>556400</v>
      </c>
      <c r="G82" s="127">
        <f>+_xlfn.XLOOKUP($A82,PRÉSTAMOS!$D:$D,PRÉSTAMOS!P:P)/100</f>
        <v>0.13</v>
      </c>
      <c r="H82" s="132">
        <v>45093</v>
      </c>
      <c r="I82" s="132">
        <f>+DATE(YEAR(Contratos[[#This Row],[FECHA DESEMBOLSO]]),MONTH(Contratos[[#This Row],[FECHA DESEMBOLSO]])+3,DAY(Contratos[[#This Row],[FECHA DESEMBOLSO]]))</f>
        <v>45185</v>
      </c>
      <c r="J82" t="str">
        <f>+_xlfn.XLOOKUP($A82,PRÉSTAMOS!$D:$D,PRÉSTAMOS!S:S)</f>
        <v>Adelanto</v>
      </c>
      <c r="K82" s="126">
        <f>+IFERROR(_xlfn.XLOOKUP(Contratos[[#This Row],[No. CONTRATO]],CajaTotal[REFERENCIA],CajaTotal[DEBITO]),0)</f>
        <v>0</v>
      </c>
      <c r="L82" s="125" t="str" cm="1">
        <f t="array" ref="L82">+IFERROR(MAX(_xlfn._xlws.FILTER(CajaTotal[FECHA],CajaTotal[REFERENCIA]=Contratos[[#This Row],[No. CONTRATO]])),"")</f>
        <v/>
      </c>
      <c r="M82" t="str">
        <f>+IF(_xlfn.XLOOKUP($A82,PRÉSTAMOS!$D:$D,PRÉSTAMOS!V:V)=0,"",_xlfn.XLOOKUP($A82,PRÉSTAMOS!$D:$D,PRÉSTAMOS!V:V))</f>
        <v/>
      </c>
      <c r="N82" s="125" t="str">
        <f>+IF(_xlfn.XLOOKUP($A82,PRÉSTAMOS!$D:$D,PRÉSTAMOS!W:W)=0,"",_xlfn.XLOOKUP($A82,PRÉSTAMOS!$D:$D,PRÉSTAMOS!W:W))</f>
        <v/>
      </c>
      <c r="O82" s="125" t="str">
        <f>+IF(_xlfn.XLOOKUP($A82,PRÉSTAMOS!$D:$D,PRÉSTAMOS!X:X)=0,"",_xlfn.XLOOKUP($A82,PRÉSTAMOS!$D:$D,PRÉSTAMOS!X:X))</f>
        <v>MAFE $1.000.000 - FRANCISCO $1.000.000</v>
      </c>
      <c r="R82" t="str">
        <f ca="1">+IF(Contratos[[#This Row],[JURIDICO]]=1,"PROCESO JURIDICO",IF(I82&lt;TODAY(),"VENCIDO","ACTIVO"))</f>
        <v>VENCIDO</v>
      </c>
    </row>
    <row r="83" spans="1:18" hidden="1" x14ac:dyDescent="0.25">
      <c r="A83">
        <v>492</v>
      </c>
      <c r="B83">
        <f>+_xlfn.XLOOKUP($A83,PRÉSTAMOS!$D:$D,PRÉSTAMOS!B:B)</f>
        <v>1414863</v>
      </c>
      <c r="C83" s="126">
        <f>+_xlfn.XLOOKUP($A83,PRÉSTAMOS!$D:$D,PRÉSTAMOS!K:K)</f>
        <v>300000</v>
      </c>
      <c r="D83" s="126" cm="1">
        <f t="array" ref="D83">+ValorProyectado_Aritmetico(C83,0.13,3)</f>
        <v>1917000</v>
      </c>
      <c r="E83" t="str" cm="1">
        <f t="array" ref="E83">+CONVERTIRNUM(D83)</f>
        <v>Un Millón Novecientos Diecisiete Mil Pesos</v>
      </c>
      <c r="F83" s="126" cm="1">
        <f t="array" ref="F83">+Honorarios(D83,0.13)</f>
        <v>249210</v>
      </c>
      <c r="G83" s="127">
        <f>+_xlfn.XLOOKUP($A83,PRÉSTAMOS!$D:$D,PRÉSTAMOS!P:P)/100</f>
        <v>0.13</v>
      </c>
      <c r="H83" s="132">
        <v>45097</v>
      </c>
      <c r="I83" s="132">
        <f>+DATE(YEAR(Contratos[[#This Row],[FECHA DESEMBOLSO]]),MONTH(Contratos[[#This Row],[FECHA DESEMBOLSO]])+3,DAY(Contratos[[#This Row],[FECHA DESEMBOLSO]]))</f>
        <v>45189</v>
      </c>
      <c r="J83" t="str">
        <f>+_xlfn.XLOOKUP($A83,PRÉSTAMOS!$D:$D,PRÉSTAMOS!S:S)</f>
        <v>Adelanto</v>
      </c>
      <c r="K83" s="126">
        <f>+IFERROR(_xlfn.XLOOKUP(Contratos[[#This Row],[No. CONTRATO]],CajaTotal[REFERENCIA],CajaTotal[DEBITO]),0)</f>
        <v>0</v>
      </c>
      <c r="L83" s="125" t="str" cm="1">
        <f t="array" ref="L83">+IFERROR(MAX(_xlfn._xlws.FILTER(CajaTotal[FECHA],CajaTotal[REFERENCIA]=Contratos[[#This Row],[No. CONTRATO]])),"")</f>
        <v/>
      </c>
      <c r="M83" t="str">
        <f>+IF(_xlfn.XLOOKUP($A83,PRÉSTAMOS!$D:$D,PRÉSTAMOS!V:V)=0,"",_xlfn.XLOOKUP($A83,PRÉSTAMOS!$D:$D,PRÉSTAMOS!V:V))</f>
        <v>pago total</v>
      </c>
      <c r="N83" s="125">
        <f>+IF(_xlfn.XLOOKUP($A83,PRÉSTAMOS!$D:$D,PRÉSTAMOS!W:W)=0,"",_xlfn.XLOOKUP($A83,PRÉSTAMOS!$D:$D,PRÉSTAMOS!W:W))</f>
        <v>45106</v>
      </c>
      <c r="O83" s="125" t="str">
        <f>+IF(_xlfn.XLOOKUP($A83,PRÉSTAMOS!$D:$D,PRÉSTAMOS!X:X)=0,"",_xlfn.XLOOKUP($A83,PRÉSTAMOS!$D:$D,PRÉSTAMOS!X:X))</f>
        <v>EJE COMERCIAL</v>
      </c>
      <c r="R83" t="str">
        <f ca="1">+IF(Contratos[[#This Row],[JURIDICO]]=1,"PROCESO JURIDICO",IF(I83&lt;TODAY(),"VENCIDO","ACTIVO"))</f>
        <v>ACTIVO</v>
      </c>
    </row>
    <row r="84" spans="1:18" x14ac:dyDescent="0.25">
      <c r="A84">
        <v>493</v>
      </c>
      <c r="B84">
        <f>+_xlfn.XLOOKUP($A84,PRÉSTAMOS!$D:$D,PRÉSTAMOS!B:B)</f>
        <v>10090181</v>
      </c>
      <c r="C84" s="126">
        <f>+_xlfn.XLOOKUP($A84,PRÉSTAMOS!$D:$D,PRÉSTAMOS!K:K)</f>
        <v>500000</v>
      </c>
      <c r="D84" s="126" cm="1">
        <f t="array" ref="D84">+ValorProyectado_Aritmetico(C84,0.13,3)</f>
        <v>2195000</v>
      </c>
      <c r="E84" t="str" cm="1">
        <f t="array" ref="E84">+CONVERTIRNUM(D84)</f>
        <v>Dos Millones Ciento Noventa y Cinco Mil Pesos</v>
      </c>
      <c r="F84" s="126" cm="1">
        <f t="array" ref="F84">+Honorarios(D84,0.13)</f>
        <v>285350</v>
      </c>
      <c r="G84" s="127">
        <f>+_xlfn.XLOOKUP($A84,PRÉSTAMOS!$D:$D,PRÉSTAMOS!P:P)/100</f>
        <v>0.13</v>
      </c>
      <c r="H84" s="132">
        <v>45098</v>
      </c>
      <c r="I84" s="132">
        <f>+DATE(YEAR(Contratos[[#This Row],[FECHA DESEMBOLSO]]),MONTH(Contratos[[#This Row],[FECHA DESEMBOLSO]])+3,DAY(Contratos[[#This Row],[FECHA DESEMBOLSO]]))</f>
        <v>45190</v>
      </c>
      <c r="J84" t="str">
        <f>+_xlfn.XLOOKUP($A84,PRÉSTAMOS!$D:$D,PRÉSTAMOS!S:S)</f>
        <v>Adelanto</v>
      </c>
      <c r="K84" s="126">
        <f>+IFERROR(_xlfn.XLOOKUP(Contratos[[#This Row],[No. CONTRATO]],CajaTotal[REFERENCIA],CajaTotal[DEBITO]),0)</f>
        <v>0</v>
      </c>
      <c r="L84" s="125" t="str" cm="1">
        <f t="array" ref="L84">+IFERROR(MAX(_xlfn._xlws.FILTER(CajaTotal[FECHA],CajaTotal[REFERENCIA]=Contratos[[#This Row],[No. CONTRATO]])),"")</f>
        <v/>
      </c>
      <c r="M84" t="str">
        <f>+IF(_xlfn.XLOOKUP($A84,PRÉSTAMOS!$D:$D,PRÉSTAMOS!V:V)=0,"",_xlfn.XLOOKUP($A84,PRÉSTAMOS!$D:$D,PRÉSTAMOS!V:V))</f>
        <v/>
      </c>
      <c r="N84" s="125" t="str">
        <f>+IF(_xlfn.XLOOKUP($A84,PRÉSTAMOS!$D:$D,PRÉSTAMOS!W:W)=0,"",_xlfn.XLOOKUP($A84,PRÉSTAMOS!$D:$D,PRÉSTAMOS!W:W))</f>
        <v/>
      </c>
      <c r="O84" s="125" t="str">
        <f>+IF(_xlfn.XLOOKUP($A84,PRÉSTAMOS!$D:$D,PRÉSTAMOS!X:X)=0,"",_xlfn.XLOOKUP($A84,PRÉSTAMOS!$D:$D,PRÉSTAMOS!X:X))</f>
        <v>SERGIO RAMÍREZ</v>
      </c>
      <c r="R84" t="str">
        <f ca="1">+IF(Contratos[[#This Row],[JURIDICO]]=1,"PROCESO JURIDICO",IF(I84&lt;TODAY(),"VENCIDO","ACTIVO"))</f>
        <v>ACTIVO</v>
      </c>
    </row>
    <row r="85" spans="1:18" x14ac:dyDescent="0.25">
      <c r="A85">
        <v>494</v>
      </c>
      <c r="B85">
        <f>+_xlfn.XLOOKUP($A85,PRÉSTAMOS!$D:$D,PRÉSTAMOS!B:B)</f>
        <v>24929445</v>
      </c>
      <c r="C85" s="126">
        <f>+_xlfn.XLOOKUP($A85,PRÉSTAMOS!$D:$D,PRÉSTAMOS!K:K)</f>
        <v>500000</v>
      </c>
      <c r="D85" s="126" cm="1">
        <f t="array" ref="D85">+ValorProyectado_Aritmetico(C85,0.13,3)</f>
        <v>2195000</v>
      </c>
      <c r="E85" t="str" cm="1">
        <f t="array" ref="E85">+CONVERTIRNUM(D85)</f>
        <v>Dos Millones Ciento Noventa y Cinco Mil Pesos</v>
      </c>
      <c r="F85" s="126" cm="1">
        <f t="array" ref="F85">+Honorarios(D85,0.13)</f>
        <v>285350</v>
      </c>
      <c r="G85" s="127">
        <f>+_xlfn.XLOOKUP($A85,PRÉSTAMOS!$D:$D,PRÉSTAMOS!P:P)/100</f>
        <v>0.13</v>
      </c>
      <c r="H85" s="132">
        <v>45099</v>
      </c>
      <c r="I85" s="132">
        <f>+DATE(YEAR(Contratos[[#This Row],[FECHA DESEMBOLSO]]),MONTH(Contratos[[#This Row],[FECHA DESEMBOLSO]])+3,DAY(Contratos[[#This Row],[FECHA DESEMBOLSO]]))</f>
        <v>45191</v>
      </c>
      <c r="J85" t="str">
        <f>+_xlfn.XLOOKUP($A85,PRÉSTAMOS!$D:$D,PRÉSTAMOS!S:S)</f>
        <v>Adelanto</v>
      </c>
      <c r="K85" s="126">
        <f>+IFERROR(_xlfn.XLOOKUP(Contratos[[#This Row],[No. CONTRATO]],CajaTotal[REFERENCIA],CajaTotal[DEBITO]),0)</f>
        <v>0</v>
      </c>
      <c r="L85" s="125" t="str" cm="1">
        <f t="array" ref="L85">+IFERROR(MAX(_xlfn._xlws.FILTER(CajaTotal[FECHA],CajaTotal[REFERENCIA]=Contratos[[#This Row],[No. CONTRATO]])),"")</f>
        <v/>
      </c>
      <c r="M85" t="str">
        <f>+IF(_xlfn.XLOOKUP($A85,PRÉSTAMOS!$D:$D,PRÉSTAMOS!V:V)=0,"",_xlfn.XLOOKUP($A85,PRÉSTAMOS!$D:$D,PRÉSTAMOS!V:V))</f>
        <v/>
      </c>
      <c r="N85" s="125" t="str">
        <f>+IF(_xlfn.XLOOKUP($A85,PRÉSTAMOS!$D:$D,PRÉSTAMOS!W:W)=0,"",_xlfn.XLOOKUP($A85,PRÉSTAMOS!$D:$D,PRÉSTAMOS!W:W))</f>
        <v/>
      </c>
      <c r="O85" s="125" t="str">
        <f>+IF(_xlfn.XLOOKUP($A85,PRÉSTAMOS!$D:$D,PRÉSTAMOS!X:X)=0,"",_xlfn.XLOOKUP($A85,PRÉSTAMOS!$D:$D,PRÉSTAMOS!X:X))</f>
        <v>EJE COMERCIAL</v>
      </c>
      <c r="R85" t="str">
        <f ca="1">+IF(Contratos[[#This Row],[JURIDICO]]=1,"PROCESO JURIDICO",IF(I85&lt;TODAY(),"VENCIDO","ACTIVO"))</f>
        <v>ACTIVO</v>
      </c>
    </row>
    <row r="86" spans="1:18" x14ac:dyDescent="0.25">
      <c r="A86" t="s">
        <v>520</v>
      </c>
      <c r="B86">
        <f>+_xlfn.XLOOKUP($A86,PRÉSTAMOS!$D:$D,PRÉSTAMOS!B:B)</f>
        <v>94376844</v>
      </c>
      <c r="C86" s="126">
        <f>+_xlfn.XLOOKUP($A86,PRÉSTAMOS!$D:$D,PRÉSTAMOS!K:K)</f>
        <v>20000000</v>
      </c>
      <c r="D86" s="126" cm="1">
        <f t="array" ref="D86">+ValorProyectado_Aritmetico(C86,0.13,3)</f>
        <v>29300000</v>
      </c>
      <c r="E86" t="str" cm="1">
        <f t="array" ref="E86">+CONVERTIRNUM(D86)</f>
        <v>Veintinueve Millones Trescientos Mil Pesos</v>
      </c>
      <c r="F86" s="126" cm="1">
        <f t="array" ref="F86">+Honorarios(D86,0.13)</f>
        <v>3809000</v>
      </c>
      <c r="G86" s="127">
        <f>+_xlfn.XLOOKUP($A86,PRÉSTAMOS!$D:$D,PRÉSTAMOS!P:P)/100</f>
        <v>0.13</v>
      </c>
      <c r="H86" s="132">
        <v>44940</v>
      </c>
      <c r="I86" s="132">
        <f>+DATE(YEAR(Contratos[[#This Row],[FECHA DESEMBOLSO]]),MONTH(Contratos[[#This Row],[FECHA DESEMBOLSO]])+3,DAY(Contratos[[#This Row],[FECHA DESEMBOLSO]]))</f>
        <v>45030</v>
      </c>
      <c r="J86" t="str">
        <f>+_xlfn.XLOOKUP($A86,PRÉSTAMOS!$D:$D,PRÉSTAMOS!S:S)</f>
        <v>Adelanto</v>
      </c>
      <c r="K86" s="126">
        <f>+IFERROR(_xlfn.XLOOKUP(Contratos[[#This Row],[No. CONTRATO]],CajaTotal[REFERENCIA],CajaTotal[DEBITO]),0)</f>
        <v>0</v>
      </c>
      <c r="L86" s="125" t="str" cm="1">
        <f t="array" ref="L86">+IFERROR(MAX(_xlfn._xlws.FILTER(CajaTotal[FECHA],CajaTotal[REFERENCIA]=Contratos[[#This Row],[No. CONTRATO]])),"")</f>
        <v/>
      </c>
      <c r="M86" t="str">
        <f>+IF(_xlfn.XLOOKUP($A86,PRÉSTAMOS!$D:$D,PRÉSTAMOS!V:V)=0,"",_xlfn.XLOOKUP($A86,PRÉSTAMOS!$D:$D,PRÉSTAMOS!V:V))</f>
        <v/>
      </c>
      <c r="N86" s="125" t="str">
        <f>+IF(_xlfn.XLOOKUP($A86,PRÉSTAMOS!$D:$D,PRÉSTAMOS!W:W)=0,"",_xlfn.XLOOKUP($A86,PRÉSTAMOS!$D:$D,PRÉSTAMOS!W:W))</f>
        <v/>
      </c>
      <c r="O86" s="125" t="str">
        <f>+IF(_xlfn.XLOOKUP($A86,PRÉSTAMOS!$D:$D,PRÉSTAMOS!X:X)=0,"",_xlfn.XLOOKUP($A86,PRÉSTAMOS!$D:$D,PRÉSTAMOS!X:X))</f>
        <v>EMBARGO ESTRATÉGICO</v>
      </c>
      <c r="R86" t="str">
        <f ca="1">+IF(Contratos[[#This Row],[JURIDICO]]=1,"PROCESO JURIDICO",IF(I86&lt;TODAY(),"VENCIDO","ACTIVO"))</f>
        <v>VENCIDO</v>
      </c>
    </row>
    <row r="87" spans="1:18" x14ac:dyDescent="0.25">
      <c r="A87" t="s">
        <v>639</v>
      </c>
      <c r="B87">
        <f>+_xlfn.XLOOKUP($A87,PRÉSTAMOS!$D:$D,PRÉSTAMOS!B:B)</f>
        <v>13895026</v>
      </c>
      <c r="C87" s="126">
        <f>+_xlfn.XLOOKUP($A87,PRÉSTAMOS!$D:$D,PRÉSTAMOS!K:K)</f>
        <v>15250000</v>
      </c>
      <c r="D87" s="126" cm="1">
        <f t="array" ref="D87">+ValorProyectado_Aritmetico(C87,0.13,3)</f>
        <v>22697500</v>
      </c>
      <c r="E87" t="str" cm="1">
        <f t="array" ref="E87">+CONVERTIRNUM(D87)</f>
        <v>Veintidos Millones Seiscientos Noventa y Siete Mil Quinientos Pesos</v>
      </c>
      <c r="F87" s="126" cm="1">
        <f t="array" ref="F87">+Honorarios(D87,0.13)</f>
        <v>2950675</v>
      </c>
      <c r="G87" s="127">
        <f>+_xlfn.XLOOKUP($A87,PRÉSTAMOS!$D:$D,PRÉSTAMOS!P:P)/100</f>
        <v>0.13</v>
      </c>
      <c r="H87" s="132">
        <v>44940</v>
      </c>
      <c r="I87" s="132">
        <f>+DATE(YEAR(Contratos[[#This Row],[FECHA DESEMBOLSO]]),MONTH(Contratos[[#This Row],[FECHA DESEMBOLSO]])+3,DAY(Contratos[[#This Row],[FECHA DESEMBOLSO]]))</f>
        <v>45030</v>
      </c>
      <c r="J87" t="str">
        <f>+_xlfn.XLOOKUP($A87,PRÉSTAMOS!$D:$D,PRÉSTAMOS!S:S)</f>
        <v>Adelanto</v>
      </c>
      <c r="K87" s="126">
        <f>+IFERROR(_xlfn.XLOOKUP(Contratos[[#This Row],[No. CONTRATO]],CajaTotal[REFERENCIA],CajaTotal[DEBITO]),0)</f>
        <v>0</v>
      </c>
      <c r="L87" s="125" t="str" cm="1">
        <f t="array" ref="L87">+IFERROR(MAX(_xlfn._xlws.FILTER(CajaTotal[FECHA],CajaTotal[REFERENCIA]=Contratos[[#This Row],[No. CONTRATO]])),"")</f>
        <v/>
      </c>
      <c r="M87" t="str">
        <f>+IF(_xlfn.XLOOKUP($A87,PRÉSTAMOS!$D:$D,PRÉSTAMOS!V:V)=0,"",_xlfn.XLOOKUP($A87,PRÉSTAMOS!$D:$D,PRÉSTAMOS!V:V))</f>
        <v/>
      </c>
      <c r="N87" s="125" t="str">
        <f>+IF(_xlfn.XLOOKUP($A87,PRÉSTAMOS!$D:$D,PRÉSTAMOS!W:W)=0,"",_xlfn.XLOOKUP($A87,PRÉSTAMOS!$D:$D,PRÉSTAMOS!W:W))</f>
        <v/>
      </c>
      <c r="O87" s="125" t="str">
        <f>+IF(_xlfn.XLOOKUP($A87,PRÉSTAMOS!$D:$D,PRÉSTAMOS!X:X)=0,"",_xlfn.XLOOKUP($A87,PRÉSTAMOS!$D:$D,PRÉSTAMOS!X:X))</f>
        <v>EMBARGO ESTRATÉGICO</v>
      </c>
      <c r="R87" t="str">
        <f ca="1">+IF(Contratos[[#This Row],[JURIDICO]]=1,"PROCESO JURIDICO",IF(I87&lt;TODAY(),"VENCIDO","ACTIVO"))</f>
        <v>VENCIDO</v>
      </c>
    </row>
    <row r="88" spans="1:18" x14ac:dyDescent="0.25">
      <c r="A88">
        <v>495</v>
      </c>
      <c r="B88">
        <f>+_xlfn.XLOOKUP($A88,PRÉSTAMOS!$D:$D,PRÉSTAMOS!B:B)</f>
        <v>10095572</v>
      </c>
      <c r="C88" s="126">
        <f>+_xlfn.XLOOKUP($A88,PRÉSTAMOS!$D:$D,PRÉSTAMOS!K:K)</f>
        <v>500000</v>
      </c>
      <c r="D88" s="126" cm="1">
        <f t="array" ref="D88">+ValorProyectado_Aritmetico(C88,0.13,3)</f>
        <v>2195000</v>
      </c>
      <c r="E88" t="str" cm="1">
        <f t="array" ref="E88">+CONVERTIRNUM(D88)</f>
        <v>Dos Millones Ciento Noventa y Cinco Mil Pesos</v>
      </c>
      <c r="F88" s="126" cm="1">
        <f t="array" ref="F88">+Honorarios(D88,0.13)</f>
        <v>285350</v>
      </c>
      <c r="G88" s="127">
        <f>+_xlfn.XLOOKUP($A88,PRÉSTAMOS!$D:$D,PRÉSTAMOS!P:P)/100</f>
        <v>0.13</v>
      </c>
      <c r="H88" s="132">
        <v>45106</v>
      </c>
      <c r="I88" s="132">
        <f>+DATE(YEAR(Contratos[[#This Row],[FECHA DESEMBOLSO]]),MONTH(Contratos[[#This Row],[FECHA DESEMBOLSO]])+3,DAY(Contratos[[#This Row],[FECHA DESEMBOLSO]]))</f>
        <v>45198</v>
      </c>
      <c r="J88" t="str">
        <f>+_xlfn.XLOOKUP($A88,PRÉSTAMOS!$D:$D,PRÉSTAMOS!S:S)</f>
        <v>Préstamo</v>
      </c>
      <c r="K88" s="126">
        <f>+IFERROR(_xlfn.XLOOKUP(Contratos[[#This Row],[No. CONTRATO]],CajaTotal[REFERENCIA],CajaTotal[DEBITO]),0)</f>
        <v>0</v>
      </c>
      <c r="L88" s="125" t="str" cm="1">
        <f t="array" ref="L88">+IFERROR(MAX(_xlfn._xlws.FILTER(CajaTotal[FECHA],CajaTotal[REFERENCIA]=Contratos[[#This Row],[No. CONTRATO]])),"")</f>
        <v/>
      </c>
      <c r="M88" t="str">
        <f>+IF(_xlfn.XLOOKUP($A88,PRÉSTAMOS!$D:$D,PRÉSTAMOS!V:V)=0,"",_xlfn.XLOOKUP($A88,PRÉSTAMOS!$D:$D,PRÉSTAMOS!V:V))</f>
        <v/>
      </c>
      <c r="N88" s="125" t="str">
        <f>+IF(_xlfn.XLOOKUP($A88,PRÉSTAMOS!$D:$D,PRÉSTAMOS!W:W)=0,"",_xlfn.XLOOKUP($A88,PRÉSTAMOS!$D:$D,PRÉSTAMOS!W:W))</f>
        <v/>
      </c>
      <c r="O88" s="125" t="str">
        <f>+IF(_xlfn.XLOOKUP($A88,PRÉSTAMOS!$D:$D,PRÉSTAMOS!X:X)=0,"",_xlfn.XLOOKUP($A88,PRÉSTAMOS!$D:$D,PRÉSTAMOS!X:X))</f>
        <v>FRANCISCO</v>
      </c>
      <c r="R88" t="str">
        <f ca="1">+IF(Contratos[[#This Row],[JURIDICO]]=1,"PROCESO JURIDICO",IF(I88&lt;TODAY(),"VENCIDO","ACTIVO"))</f>
        <v>ACTIVO</v>
      </c>
    </row>
    <row r="89" spans="1:18" x14ac:dyDescent="0.25">
      <c r="A89">
        <v>496</v>
      </c>
      <c r="B89">
        <f>+_xlfn.XLOOKUP($A89,PRÉSTAMOS!$D:$D,PRÉSTAMOS!B:B)</f>
        <v>42057042</v>
      </c>
      <c r="C89" s="126">
        <f>+_xlfn.XLOOKUP($A89,PRÉSTAMOS!$D:$D,PRÉSTAMOS!K:K)</f>
        <v>500000</v>
      </c>
      <c r="D89" s="126" cm="1">
        <f t="array" ref="D89">+ValorProyectado_Aritmetico(C89,0.13,3)</f>
        <v>2195000</v>
      </c>
      <c r="E89" t="str" cm="1">
        <f t="array" ref="E89">+CONVERTIRNUM(D89)</f>
        <v>Dos Millones Ciento Noventa y Cinco Mil Pesos</v>
      </c>
      <c r="F89" s="126" cm="1">
        <f t="array" ref="F89">+Honorarios(D89,0.13)</f>
        <v>285350</v>
      </c>
      <c r="G89" s="127">
        <f>+_xlfn.XLOOKUP($A89,PRÉSTAMOS!$D:$D,PRÉSTAMOS!P:P)/100</f>
        <v>0.13</v>
      </c>
      <c r="H89" s="132">
        <v>45117</v>
      </c>
      <c r="I89" s="132">
        <f>+DATE(YEAR(Contratos[[#This Row],[FECHA DESEMBOLSO]]),MONTH(Contratos[[#This Row],[FECHA DESEMBOLSO]])+3,DAY(Contratos[[#This Row],[FECHA DESEMBOLSO]]))</f>
        <v>45209</v>
      </c>
      <c r="J89" t="str">
        <f>+_xlfn.XLOOKUP($A89,PRÉSTAMOS!$D:$D,PRÉSTAMOS!S:S)</f>
        <v>Adelanto</v>
      </c>
      <c r="K89" s="126">
        <f>+IFERROR(_xlfn.XLOOKUP(Contratos[[#This Row],[No. CONTRATO]],CajaTotal[REFERENCIA],CajaTotal[DEBITO]),0)</f>
        <v>0</v>
      </c>
      <c r="L89" s="125" t="str" cm="1">
        <f t="array" ref="L89">+IFERROR(MAX(_xlfn._xlws.FILTER(CajaTotal[FECHA],CajaTotal[REFERENCIA]=Contratos[[#This Row],[No. CONTRATO]])),"")</f>
        <v/>
      </c>
      <c r="M89" t="str">
        <f>+IF(_xlfn.XLOOKUP($A89,PRÉSTAMOS!$D:$D,PRÉSTAMOS!V:V)=0,"",_xlfn.XLOOKUP($A89,PRÉSTAMOS!$D:$D,PRÉSTAMOS!V:V))</f>
        <v/>
      </c>
      <c r="N89" s="125" t="str">
        <f>+IF(_xlfn.XLOOKUP($A89,PRÉSTAMOS!$D:$D,PRÉSTAMOS!W:W)=0,"",_xlfn.XLOOKUP($A89,PRÉSTAMOS!$D:$D,PRÉSTAMOS!W:W))</f>
        <v/>
      </c>
      <c r="O89" s="125" t="str">
        <f>+IF(_xlfn.XLOOKUP($A89,PRÉSTAMOS!$D:$D,PRÉSTAMOS!X:X)=0,"",_xlfn.XLOOKUP($A89,PRÉSTAMOS!$D:$D,PRÉSTAMOS!X:X))</f>
        <v>SERGIO RAMÍREZ</v>
      </c>
      <c r="R89" t="str">
        <f ca="1">+IF(Contratos[[#This Row],[JURIDICO]]=1,"PROCESO JURIDICO",IF(I89&lt;TODAY(),"VENCIDO","ACTIVO"))</f>
        <v>ACTIVO</v>
      </c>
    </row>
    <row r="90" spans="1:18" x14ac:dyDescent="0.25">
      <c r="A90">
        <v>497</v>
      </c>
      <c r="B90">
        <f>+_xlfn.XLOOKUP($A90,PRÉSTAMOS!$D:$D,PRÉSTAMOS!B:B)</f>
        <v>15962486</v>
      </c>
      <c r="C90" s="126">
        <f>+_xlfn.XLOOKUP($A90,PRÉSTAMOS!$D:$D,PRÉSTAMOS!K:K)</f>
        <v>5000000</v>
      </c>
      <c r="D90" s="126" cm="1">
        <f t="array" ref="D90">+ValorProyectado_Aritmetico(C90,0.13,3)</f>
        <v>8450000</v>
      </c>
      <c r="E90" t="str" cm="1">
        <f t="array" ref="E90">+CONVERTIRNUM(D90)</f>
        <v>Ocho Millones Cuatrocientos Cincuenta Mil Pesos</v>
      </c>
      <c r="F90" s="126" cm="1">
        <f t="array" ref="F90">+Honorarios(D90,0.13)</f>
        <v>1098500</v>
      </c>
      <c r="G90" s="127">
        <f>+_xlfn.XLOOKUP($A90,PRÉSTAMOS!$D:$D,PRÉSTAMOS!P:P)/100</f>
        <v>0.13</v>
      </c>
      <c r="H90" s="132">
        <v>45121</v>
      </c>
      <c r="I90" s="132">
        <f>+DATE(YEAR(Contratos[[#This Row],[FECHA DESEMBOLSO]]),MONTH(Contratos[[#This Row],[FECHA DESEMBOLSO]])+3,DAY(Contratos[[#This Row],[FECHA DESEMBOLSO]]))</f>
        <v>45213</v>
      </c>
      <c r="J90" t="str">
        <f>+_xlfn.XLOOKUP($A90,PRÉSTAMOS!$D:$D,PRÉSTAMOS!S:S)</f>
        <v>Adelanto</v>
      </c>
      <c r="K90" s="126">
        <f>+IFERROR(_xlfn.XLOOKUP(Contratos[[#This Row],[No. CONTRATO]],CajaTotal[REFERENCIA],CajaTotal[DEBITO]),0)</f>
        <v>0</v>
      </c>
      <c r="L90" s="125" t="str" cm="1">
        <f t="array" ref="L90">+IFERROR(MAX(_xlfn._xlws.FILTER(CajaTotal[FECHA],CajaTotal[REFERENCIA]=Contratos[[#This Row],[No. CONTRATO]])),"")</f>
        <v/>
      </c>
      <c r="M90" t="str">
        <f>+IF(_xlfn.XLOOKUP($A90,PRÉSTAMOS!$D:$D,PRÉSTAMOS!V:V)=0,"",_xlfn.XLOOKUP($A90,PRÉSTAMOS!$D:$D,PRÉSTAMOS!V:V))</f>
        <v/>
      </c>
      <c r="N90" s="125" t="str">
        <f>+IF(_xlfn.XLOOKUP($A90,PRÉSTAMOS!$D:$D,PRÉSTAMOS!W:W)=0,"",_xlfn.XLOOKUP($A90,PRÉSTAMOS!$D:$D,PRÉSTAMOS!W:W))</f>
        <v/>
      </c>
      <c r="O90" s="125" t="str">
        <f>+IF(_xlfn.XLOOKUP($A90,PRÉSTAMOS!$D:$D,PRÉSTAMOS!X:X)=0,"",_xlfn.XLOOKUP($A90,PRÉSTAMOS!$D:$D,PRÉSTAMOS!X:X))</f>
        <v>MAFE $2.000.000 - FRANCISCO $3.000.000</v>
      </c>
      <c r="R90" t="str">
        <f ca="1">+IF(Contratos[[#This Row],[JURIDICO]]=1,"PROCESO JURIDICO",IF(I90&lt;TODAY(),"VENCIDO","ACTIVO"))</f>
        <v>ACTIVO</v>
      </c>
    </row>
    <row r="91" spans="1:18" x14ac:dyDescent="0.25">
      <c r="A91">
        <v>498</v>
      </c>
      <c r="B91">
        <f>+_xlfn.XLOOKUP($A91,PRÉSTAMOS!$D:$D,PRÉSTAMOS!B:B)</f>
        <v>10100068</v>
      </c>
      <c r="C91" s="126">
        <f>+_xlfn.XLOOKUP($A91,PRÉSTAMOS!$D:$D,PRÉSTAMOS!K:K)</f>
        <v>3000000</v>
      </c>
      <c r="D91" s="126" cm="1">
        <f t="array" ref="D91">+ValorProyectado_Aritmetico(C91,0.13,3)</f>
        <v>5670000</v>
      </c>
      <c r="E91" t="str" cm="1">
        <f t="array" ref="E91">+CONVERTIRNUM(D91)</f>
        <v>Cinco Millones Seiscientos Setenta Mil Pesos</v>
      </c>
      <c r="F91" s="126" cm="1">
        <f t="array" ref="F91">+Honorarios(D91,0.13)</f>
        <v>737100</v>
      </c>
      <c r="G91" s="127">
        <f>+_xlfn.XLOOKUP($A91,PRÉSTAMOS!$D:$D,PRÉSTAMOS!P:P)/100</f>
        <v>0.13</v>
      </c>
      <c r="H91" s="132">
        <v>45138</v>
      </c>
      <c r="I91" s="132">
        <f>+DATE(YEAR(Contratos[[#This Row],[FECHA DESEMBOLSO]]),MONTH(Contratos[[#This Row],[FECHA DESEMBOLSO]])+3,DAY(Contratos[[#This Row],[FECHA DESEMBOLSO]]))</f>
        <v>45230</v>
      </c>
      <c r="J91" t="str">
        <f>+_xlfn.XLOOKUP($A91,PRÉSTAMOS!$D:$D,PRÉSTAMOS!S:S)</f>
        <v>Préstamo</v>
      </c>
      <c r="K91" s="126">
        <f>+IFERROR(_xlfn.XLOOKUP(Contratos[[#This Row],[No. CONTRATO]],CajaTotal[REFERENCIA],CajaTotal[DEBITO]),0)</f>
        <v>0</v>
      </c>
      <c r="L91" s="125" t="str" cm="1">
        <f t="array" ref="L91">+IFERROR(MAX(_xlfn._xlws.FILTER(CajaTotal[FECHA],CajaTotal[REFERENCIA]=Contratos[[#This Row],[No. CONTRATO]])),"")</f>
        <v/>
      </c>
      <c r="M91" t="str">
        <f>+IF(_xlfn.XLOOKUP($A91,PRÉSTAMOS!$D:$D,PRÉSTAMOS!V:V)=0,"",_xlfn.XLOOKUP($A91,PRÉSTAMOS!$D:$D,PRÉSTAMOS!V:V))</f>
        <v/>
      </c>
      <c r="N91" s="125" t="str">
        <f>+IF(_xlfn.XLOOKUP($A91,PRÉSTAMOS!$D:$D,PRÉSTAMOS!W:W)=0,"",_xlfn.XLOOKUP($A91,PRÉSTAMOS!$D:$D,PRÉSTAMOS!W:W))</f>
        <v/>
      </c>
      <c r="O91" s="125" t="str">
        <f>+IF(_xlfn.XLOOKUP($A91,PRÉSTAMOS!$D:$D,PRÉSTAMOS!X:X)=0,"",_xlfn.XLOOKUP($A91,PRÉSTAMOS!$D:$D,PRÉSTAMOS!X:X))</f>
        <v>SERGIO RAMÍREZ</v>
      </c>
      <c r="R91" t="str">
        <f ca="1">+IF(Contratos[[#This Row],[JURIDICO]]=1,"PROCESO JURIDICO",IF(I91&lt;TODAY(),"VENCIDO","ACTIVO"))</f>
        <v>ACTIVO</v>
      </c>
    </row>
    <row r="92" spans="1:18" x14ac:dyDescent="0.25">
      <c r="A92">
        <v>499</v>
      </c>
      <c r="B92">
        <f>+_xlfn.XLOOKUP($A92,PRÉSTAMOS!$D:$D,PRÉSTAMOS!B:B)</f>
        <v>42878533</v>
      </c>
      <c r="C92" s="126">
        <f>+_xlfn.XLOOKUP($A92,PRÉSTAMOS!$D:$D,PRÉSTAMOS!K:K)</f>
        <v>4000000</v>
      </c>
      <c r="D92" s="126" cm="1">
        <f t="array" ref="D92">+ValorProyectado_Aritmetico(C92,0.13,3)</f>
        <v>7060000</v>
      </c>
      <c r="E92" t="str" cm="1">
        <f t="array" ref="E92">+CONVERTIRNUM(D92)</f>
        <v>Siete Millones Sesenta Mil Pesos</v>
      </c>
      <c r="F92" s="126" cm="1">
        <f t="array" ref="F92">+Honorarios(D92,0.13)</f>
        <v>917800</v>
      </c>
      <c r="G92" s="127">
        <f>+_xlfn.XLOOKUP($A92,PRÉSTAMOS!$D:$D,PRÉSTAMOS!P:P)/100</f>
        <v>0.13</v>
      </c>
      <c r="H92" s="132">
        <v>45142</v>
      </c>
      <c r="I92" s="132">
        <f>+DATE(YEAR(Contratos[[#This Row],[FECHA DESEMBOLSO]]),MONTH(Contratos[[#This Row],[FECHA DESEMBOLSO]])+3,DAY(Contratos[[#This Row],[FECHA DESEMBOLSO]]))</f>
        <v>45234</v>
      </c>
      <c r="J92" t="str">
        <f>+_xlfn.XLOOKUP($A92,PRÉSTAMOS!$D:$D,PRÉSTAMOS!S:S)</f>
        <v>Préstamo</v>
      </c>
      <c r="K92" s="126">
        <f>+IFERROR(_xlfn.XLOOKUP(Contratos[[#This Row],[No. CONTRATO]],CajaTotal[REFERENCIA],CajaTotal[DEBITO]),0)</f>
        <v>0</v>
      </c>
      <c r="L92" s="125" cm="1">
        <f t="array" ref="L92">+IFERROR(MAX(_xlfn._xlws.FILTER(CajaTotal[FECHA],CajaTotal[REFERENCIA]=Contratos[[#This Row],[No. CONTRATO]])),"")</f>
        <v>45173</v>
      </c>
      <c r="M92" t="str">
        <f>+IF(_xlfn.XLOOKUP($A92,PRÉSTAMOS!$D:$D,PRÉSTAMOS!V:V)=0,"",_xlfn.XLOOKUP($A92,PRÉSTAMOS!$D:$D,PRÉSTAMOS!V:V))</f>
        <v/>
      </c>
      <c r="N92" s="125" t="str">
        <f>+IF(_xlfn.XLOOKUP($A92,PRÉSTAMOS!$D:$D,PRÉSTAMOS!W:W)=0,"",_xlfn.XLOOKUP($A92,PRÉSTAMOS!$D:$D,PRÉSTAMOS!W:W))</f>
        <v/>
      </c>
      <c r="O92" s="125" t="str">
        <f>+IF(_xlfn.XLOOKUP($A92,PRÉSTAMOS!$D:$D,PRÉSTAMOS!X:X)=0,"",_xlfn.XLOOKUP($A92,PRÉSTAMOS!$D:$D,PRÉSTAMOS!X:X))</f>
        <v>ALEJANDRO ALEMÁN</v>
      </c>
      <c r="R92" t="str">
        <f ca="1">+IF(Contratos[[#This Row],[JURIDICO]]=1,"PROCESO JURIDICO",IF(I92&lt;TODAY(),"VENCIDO","ACTIVO"))</f>
        <v>ACTIVO</v>
      </c>
    </row>
    <row r="93" spans="1:18" x14ac:dyDescent="0.25">
      <c r="A93">
        <v>500</v>
      </c>
      <c r="B93">
        <f>+_xlfn.XLOOKUP($A93,PRÉSTAMOS!$D:$D,PRÉSTAMOS!B:B)</f>
        <v>8271533</v>
      </c>
      <c r="C93" s="126">
        <f>+_xlfn.XLOOKUP($A93,PRÉSTAMOS!$D:$D,PRÉSTAMOS!K:K)</f>
        <v>600000</v>
      </c>
      <c r="D93" s="126" cm="1">
        <f t="array" ref="D93">+ValorProyectado_Aritmetico(C93,0.13,3)</f>
        <v>2334000</v>
      </c>
      <c r="E93" t="str" cm="1">
        <f t="array" ref="E93">+CONVERTIRNUM(D93)</f>
        <v>Dos Millones Trescientos Treinta y Cuatro Mil Pesos</v>
      </c>
      <c r="F93" s="126" cm="1">
        <f t="array" ref="F93">+Honorarios(D93,0.13)</f>
        <v>303420</v>
      </c>
      <c r="G93" s="127">
        <f>+_xlfn.XLOOKUP($A93,PRÉSTAMOS!$D:$D,PRÉSTAMOS!P:P)/100</f>
        <v>0.13</v>
      </c>
      <c r="H93" s="132">
        <v>45142</v>
      </c>
      <c r="I93" s="132">
        <f>+DATE(YEAR(Contratos[[#This Row],[FECHA DESEMBOLSO]]),MONTH(Contratos[[#This Row],[FECHA DESEMBOLSO]])+3,DAY(Contratos[[#This Row],[FECHA DESEMBOLSO]]))</f>
        <v>45234</v>
      </c>
      <c r="J93" t="str">
        <f>+_xlfn.XLOOKUP($A93,PRÉSTAMOS!$D:$D,PRÉSTAMOS!S:S)</f>
        <v>Préstamo</v>
      </c>
      <c r="K93" s="126">
        <f>+IFERROR(_xlfn.XLOOKUP(Contratos[[#This Row],[No. CONTRATO]],CajaTotal[REFERENCIA],CajaTotal[DEBITO]),0)</f>
        <v>0</v>
      </c>
      <c r="L93" s="125" cm="1">
        <f t="array" ref="L93">+IFERROR(MAX(_xlfn._xlws.FILTER(CajaTotal[FECHA],CajaTotal[REFERENCIA]=Contratos[[#This Row],[No. CONTRATO]])),"")</f>
        <v>45142</v>
      </c>
      <c r="M93" t="str">
        <f>+IF(_xlfn.XLOOKUP($A93,PRÉSTAMOS!$D:$D,PRÉSTAMOS!V:V)=0,"",_xlfn.XLOOKUP($A93,PRÉSTAMOS!$D:$D,PRÉSTAMOS!V:V))</f>
        <v/>
      </c>
      <c r="N93" s="125" t="str">
        <f>+IF(_xlfn.XLOOKUP($A93,PRÉSTAMOS!$D:$D,PRÉSTAMOS!W:W)=0,"",_xlfn.XLOOKUP($A93,PRÉSTAMOS!$D:$D,PRÉSTAMOS!W:W))</f>
        <v/>
      </c>
      <c r="O93" s="125" t="str">
        <f>+IF(_xlfn.XLOOKUP($A93,PRÉSTAMOS!$D:$D,PRÉSTAMOS!X:X)=0,"",_xlfn.XLOOKUP($A93,PRÉSTAMOS!$D:$D,PRÉSTAMOS!X:X))</f>
        <v>ALEJANDRO ALEMÁN</v>
      </c>
      <c r="R93" t="str">
        <f ca="1">+IF(Contratos[[#This Row],[JURIDICO]]=1,"PROCESO JURIDICO",IF(I93&lt;TODAY(),"VENCIDO","ACTIVO"))</f>
        <v>ACTIVO</v>
      </c>
    </row>
    <row r="94" spans="1:18" x14ac:dyDescent="0.25">
      <c r="A94">
        <v>501</v>
      </c>
      <c r="B94">
        <f>+_xlfn.XLOOKUP($A94,PRÉSTAMOS!$D:$D,PRÉSTAMOS!B:B)</f>
        <v>10123881</v>
      </c>
      <c r="C94" s="126">
        <f>+_xlfn.XLOOKUP($A94,PRÉSTAMOS!$D:$D,PRÉSTAMOS!K:K)</f>
        <v>540000</v>
      </c>
      <c r="D94" s="126" cm="1">
        <f t="array" ref="D94">+ValorProyectado_Aritmetico(C94,0.13,3)</f>
        <v>2250600</v>
      </c>
      <c r="E94" t="str" cm="1">
        <f t="array" ref="E94">+CONVERTIRNUM(D94)</f>
        <v>Dos Millones Doscientos Cincuenta Mil Seiscientos Pesos</v>
      </c>
      <c r="F94" s="126" cm="1">
        <f t="array" ref="F94">+Honorarios(D94,0.13)</f>
        <v>292578</v>
      </c>
      <c r="G94" s="127">
        <f>+_xlfn.XLOOKUP($A94,PRÉSTAMOS!$D:$D,PRÉSTAMOS!P:P)/100</f>
        <v>0.13</v>
      </c>
      <c r="H94" s="132">
        <v>45149</v>
      </c>
      <c r="I94" s="132">
        <f>+DATE(YEAR(Contratos[[#This Row],[FECHA DESEMBOLSO]]),MONTH(Contratos[[#This Row],[FECHA DESEMBOLSO]])+3,DAY(Contratos[[#This Row],[FECHA DESEMBOLSO]]))</f>
        <v>45241</v>
      </c>
      <c r="J94" t="str">
        <f>+_xlfn.XLOOKUP($A94,PRÉSTAMOS!$D:$D,PRÉSTAMOS!S:S)</f>
        <v>Adelanto</v>
      </c>
      <c r="K94" s="126">
        <f>+IFERROR(_xlfn.XLOOKUP(Contratos[[#This Row],[No. CONTRATO]],CajaTotal[REFERENCIA],CajaTotal[DEBITO]),0)</f>
        <v>0</v>
      </c>
      <c r="L94" s="125" t="str" cm="1">
        <f t="array" ref="L94">+IFERROR(MAX(_xlfn._xlws.FILTER(CajaTotal[FECHA],CajaTotal[REFERENCIA]=Contratos[[#This Row],[No. CONTRATO]])),"")</f>
        <v/>
      </c>
      <c r="M94" t="str">
        <f>+IF(_xlfn.XLOOKUP($A94,PRÉSTAMOS!$D:$D,PRÉSTAMOS!V:V)=0,"",_xlfn.XLOOKUP($A94,PRÉSTAMOS!$D:$D,PRÉSTAMOS!V:V))</f>
        <v/>
      </c>
      <c r="N94" s="125" t="str">
        <f>+IF(_xlfn.XLOOKUP($A94,PRÉSTAMOS!$D:$D,PRÉSTAMOS!W:W)=0,"",_xlfn.XLOOKUP($A94,PRÉSTAMOS!$D:$D,PRÉSTAMOS!W:W))</f>
        <v/>
      </c>
      <c r="O94" s="125" t="str">
        <f>+IF(_xlfn.XLOOKUP($A94,PRÉSTAMOS!$D:$D,PRÉSTAMOS!X:X)=0,"",_xlfn.XLOOKUP($A94,PRÉSTAMOS!$D:$D,PRÉSTAMOS!X:X))</f>
        <v>SERGIO RAMIREZ</v>
      </c>
      <c r="R94" t="str">
        <f ca="1">+IF(Contratos[[#This Row],[JURIDICO]]=1,"PROCESO JURIDICO",IF(I94&lt;TODAY(),"VENCIDO","ACTIVO"))</f>
        <v>ACTIVO</v>
      </c>
    </row>
    <row r="95" spans="1:18" x14ac:dyDescent="0.25">
      <c r="A95">
        <v>502</v>
      </c>
      <c r="B95">
        <f>+_xlfn.XLOOKUP($A95,PRÉSTAMOS!$D:$D,PRÉSTAMOS!B:B)</f>
        <v>7497396</v>
      </c>
      <c r="C95" s="126">
        <f>+_xlfn.XLOOKUP($A95,PRÉSTAMOS!$D:$D,PRÉSTAMOS!K:K)</f>
        <v>540000</v>
      </c>
      <c r="D95" s="126" cm="1">
        <f t="array" ref="D95">+ValorProyectado_Aritmetico(C95,0.13,3)</f>
        <v>2250600</v>
      </c>
      <c r="E95" t="str" cm="1">
        <f t="array" ref="E95">+CONVERTIRNUM(D95)</f>
        <v>Dos Millones Doscientos Cincuenta Mil Seiscientos Pesos</v>
      </c>
      <c r="F95" s="126" cm="1">
        <f t="array" ref="F95">+Honorarios(D95,0.13)</f>
        <v>292578</v>
      </c>
      <c r="G95" s="127">
        <f>+_xlfn.XLOOKUP($A95,PRÉSTAMOS!$D:$D,PRÉSTAMOS!P:P)/100</f>
        <v>0.13</v>
      </c>
      <c r="H95" s="132">
        <v>45152</v>
      </c>
      <c r="I95" s="132">
        <f>+DATE(YEAR(Contratos[[#This Row],[FECHA DESEMBOLSO]]),MONTH(Contratos[[#This Row],[FECHA DESEMBOLSO]])+3,DAY(Contratos[[#This Row],[FECHA DESEMBOLSO]]))</f>
        <v>45244</v>
      </c>
      <c r="J95" t="str">
        <f>+_xlfn.XLOOKUP($A95,PRÉSTAMOS!$D:$D,PRÉSTAMOS!S:S)</f>
        <v>Adelanto</v>
      </c>
      <c r="K95" s="126">
        <f>+IFERROR(_xlfn.XLOOKUP(Contratos[[#This Row],[No. CONTRATO]],CajaTotal[REFERENCIA],CajaTotal[DEBITO]),0)</f>
        <v>0</v>
      </c>
      <c r="L95" s="125" t="str" cm="1">
        <f t="array" ref="L95">+IFERROR(MAX(_xlfn._xlws.FILTER(CajaTotal[FECHA],CajaTotal[REFERENCIA]=Contratos[[#This Row],[No. CONTRATO]])),"")</f>
        <v/>
      </c>
      <c r="M95" t="str">
        <f>+IF(_xlfn.XLOOKUP($A95,PRÉSTAMOS!$D:$D,PRÉSTAMOS!V:V)=0,"",_xlfn.XLOOKUP($A95,PRÉSTAMOS!$D:$D,PRÉSTAMOS!V:V))</f>
        <v/>
      </c>
      <c r="N95" s="125" t="str">
        <f>+IF(_xlfn.XLOOKUP($A95,PRÉSTAMOS!$D:$D,PRÉSTAMOS!W:W)=0,"",_xlfn.XLOOKUP($A95,PRÉSTAMOS!$D:$D,PRÉSTAMOS!W:W))</f>
        <v/>
      </c>
      <c r="O95" s="125" t="str">
        <f>+IF(_xlfn.XLOOKUP($A95,PRÉSTAMOS!$D:$D,PRÉSTAMOS!X:X)=0,"",_xlfn.XLOOKUP($A95,PRÉSTAMOS!$D:$D,PRÉSTAMOS!X:X))</f>
        <v>SERGIO RAMIREZ</v>
      </c>
      <c r="R95" t="str">
        <f ca="1">+IF(Contratos[[#This Row],[JURIDICO]]=1,"PROCESO JURIDICO",IF(I95&lt;TODAY(),"VENCIDO","ACTIVO"))</f>
        <v>ACTIVO</v>
      </c>
    </row>
    <row r="96" spans="1:18" x14ac:dyDescent="0.25">
      <c r="A96">
        <v>503</v>
      </c>
      <c r="B96">
        <f>+_xlfn.XLOOKUP($A96,PRÉSTAMOS!$D:$D,PRÉSTAMOS!B:B)</f>
        <v>24761361</v>
      </c>
      <c r="C96" s="126">
        <f>+_xlfn.XLOOKUP($A96,PRÉSTAMOS!$D:$D,PRÉSTAMOS!K:K)</f>
        <v>350000</v>
      </c>
      <c r="D96" s="126" cm="1">
        <f t="array" ref="D96">+ValorProyectado_Aritmetico(C96,0.13,3)</f>
        <v>1986500</v>
      </c>
      <c r="E96" t="str" cm="1">
        <f t="array" ref="E96">+CONVERTIRNUM(D96)</f>
        <v>Un Millón Novecientos Ochenta y Seis Mil Quinientos Pesos</v>
      </c>
      <c r="F96" s="126" cm="1">
        <f t="array" ref="F96">+Honorarios(D96,0.13)</f>
        <v>258245</v>
      </c>
      <c r="G96" s="127">
        <f>+_xlfn.XLOOKUP($A96,PRÉSTAMOS!$D:$D,PRÉSTAMOS!P:P)/100</f>
        <v>0.13</v>
      </c>
      <c r="H96" s="132">
        <v>45152</v>
      </c>
      <c r="I96" s="132">
        <f>+DATE(YEAR(Contratos[[#This Row],[FECHA DESEMBOLSO]]),MONTH(Contratos[[#This Row],[FECHA DESEMBOLSO]])+3,DAY(Contratos[[#This Row],[FECHA DESEMBOLSO]]))</f>
        <v>45244</v>
      </c>
      <c r="J96" t="str">
        <f>+_xlfn.XLOOKUP($A96,PRÉSTAMOS!$D:$D,PRÉSTAMOS!S:S)</f>
        <v>Adelanto</v>
      </c>
      <c r="K96" s="126">
        <f>+IFERROR(_xlfn.XLOOKUP(Contratos[[#This Row],[No. CONTRATO]],CajaTotal[REFERENCIA],CajaTotal[DEBITO]),0)</f>
        <v>0</v>
      </c>
      <c r="L96" s="125" cm="1">
        <f t="array" ref="L96">+IFERROR(MAX(_xlfn._xlws.FILTER(CajaTotal[FECHA],CajaTotal[REFERENCIA]=Contratos[[#This Row],[No. CONTRATO]])),"")</f>
        <v>45152</v>
      </c>
      <c r="M96" t="str">
        <f>+IF(_xlfn.XLOOKUP($A96,PRÉSTAMOS!$D:$D,PRÉSTAMOS!V:V)=0,"",_xlfn.XLOOKUP($A96,PRÉSTAMOS!$D:$D,PRÉSTAMOS!V:V))</f>
        <v/>
      </c>
      <c r="N96" s="125" t="str">
        <f>+IF(_xlfn.XLOOKUP($A96,PRÉSTAMOS!$D:$D,PRÉSTAMOS!W:W)=0,"",_xlfn.XLOOKUP($A96,PRÉSTAMOS!$D:$D,PRÉSTAMOS!W:W))</f>
        <v/>
      </c>
      <c r="O96" s="125" t="str">
        <f>+IF(_xlfn.XLOOKUP($A96,PRÉSTAMOS!$D:$D,PRÉSTAMOS!X:X)=0,"",_xlfn.XLOOKUP($A96,PRÉSTAMOS!$D:$D,PRÉSTAMOS!X:X))</f>
        <v>JAVIER VALENCIA</v>
      </c>
      <c r="R96" t="str">
        <f ca="1">+IF(Contratos[[#This Row],[JURIDICO]]=1,"PROCESO JURIDICO",IF(I96&lt;TODAY(),"VENCIDO","ACTIVO"))</f>
        <v>ACTIVO</v>
      </c>
    </row>
    <row r="97" spans="1:18" x14ac:dyDescent="0.25">
      <c r="A97">
        <v>504</v>
      </c>
      <c r="B97">
        <f>+_xlfn.XLOOKUP($A97,PRÉSTAMOS!$D:$D,PRÉSTAMOS!B:B)</f>
        <v>10023511</v>
      </c>
      <c r="C97" s="126">
        <f>+_xlfn.XLOOKUP($A97,PRÉSTAMOS!$D:$D,PRÉSTAMOS!K:K)</f>
        <v>450000</v>
      </c>
      <c r="D97" s="126" cm="1">
        <f t="array" ref="D97">+ValorProyectado_Aritmetico(C97,0.13,3)</f>
        <v>2125500</v>
      </c>
      <c r="E97" t="str" cm="1">
        <f t="array" ref="E97">+CONVERTIRNUM(D97)</f>
        <v>Dos Millones Ciento Veinticinco Mil Quinientos Pesos</v>
      </c>
      <c r="F97" s="126" cm="1">
        <f t="array" ref="F97">+Honorarios(D97,0.13)</f>
        <v>276315</v>
      </c>
      <c r="G97" s="127">
        <f>+_xlfn.XLOOKUP($A97,PRÉSTAMOS!$D:$D,PRÉSTAMOS!P:P)/100</f>
        <v>0.13</v>
      </c>
      <c r="H97" s="132">
        <v>45153</v>
      </c>
      <c r="I97" s="132">
        <f>+DATE(YEAR(Contratos[[#This Row],[FECHA DESEMBOLSO]]),MONTH(Contratos[[#This Row],[FECHA DESEMBOLSO]])+3,DAY(Contratos[[#This Row],[FECHA DESEMBOLSO]]))</f>
        <v>45245</v>
      </c>
      <c r="J97" t="str">
        <f>+_xlfn.XLOOKUP($A97,PRÉSTAMOS!$D:$D,PRÉSTAMOS!S:S)</f>
        <v>Normalización</v>
      </c>
      <c r="K97" s="126">
        <f>+IFERROR(_xlfn.XLOOKUP(Contratos[[#This Row],[No. CONTRATO]],CajaTotal[REFERENCIA],CajaTotal[DEBITO]),0)</f>
        <v>400000</v>
      </c>
      <c r="L97" s="125" cm="1">
        <f t="array" ref="L97">+IFERROR(MAX(_xlfn._xlws.FILTER(CajaTotal[FECHA],CajaTotal[REFERENCIA]=Contratos[[#This Row],[No. CONTRATO]])),"")</f>
        <v>45162</v>
      </c>
      <c r="M97" t="str">
        <f>+IF(_xlfn.XLOOKUP($A97,PRÉSTAMOS!$D:$D,PRÉSTAMOS!V:V)=0,"",_xlfn.XLOOKUP($A97,PRÉSTAMOS!$D:$D,PRÉSTAMOS!V:V))</f>
        <v/>
      </c>
      <c r="N97" s="125" t="str">
        <f>+IF(_xlfn.XLOOKUP($A97,PRÉSTAMOS!$D:$D,PRÉSTAMOS!W:W)=0,"",_xlfn.XLOOKUP($A97,PRÉSTAMOS!$D:$D,PRÉSTAMOS!W:W))</f>
        <v/>
      </c>
      <c r="O97" s="125" t="str">
        <f>+IF(_xlfn.XLOOKUP($A97,PRÉSTAMOS!$D:$D,PRÉSTAMOS!X:X)=0,"",_xlfn.XLOOKUP($A97,PRÉSTAMOS!$D:$D,PRÉSTAMOS!X:X))</f>
        <v xml:space="preserve">NORMALIZACIÓN DAVIVIENDA </v>
      </c>
      <c r="R97" t="str">
        <f ca="1">+IF(Contratos[[#This Row],[JURIDICO]]=1,"PROCESO JURIDICO",IF(I97&lt;TODAY(),"VENCIDO","ACTIVO"))</f>
        <v>ACTIVO</v>
      </c>
    </row>
    <row r="98" spans="1:18" x14ac:dyDescent="0.25">
      <c r="A98" t="s">
        <v>523</v>
      </c>
      <c r="B98">
        <f>+_xlfn.XLOOKUP($A98,PRÉSTAMOS!$D:$D,PRÉSTAMOS!B:B)</f>
        <v>24954088</v>
      </c>
      <c r="C98" s="126">
        <f>+_xlfn.XLOOKUP($A98,PRÉSTAMOS!$D:$D,PRÉSTAMOS!K:K)</f>
        <v>18000000</v>
      </c>
      <c r="D98" s="126" cm="1">
        <f t="array" ref="D98">+ValorProyectado_Aritmetico(C98,0.13,3)</f>
        <v>26520000</v>
      </c>
      <c r="E98" t="str" cm="1">
        <f t="array" ref="E98">+CONVERTIRNUM(D98)</f>
        <v>Veintiseis Millones Quinientos Veinte Mil Pesos</v>
      </c>
      <c r="F98" s="126" cm="1">
        <f t="array" ref="F98">+Honorarios(D98,0.13)</f>
        <v>3447600</v>
      </c>
      <c r="G98" s="127">
        <f>+_xlfn.XLOOKUP($A98,PRÉSTAMOS!$D:$D,PRÉSTAMOS!P:P)/100</f>
        <v>0.13</v>
      </c>
      <c r="H98" s="132">
        <v>44973</v>
      </c>
      <c r="I98" s="132">
        <f>+DATE(YEAR(Contratos[[#This Row],[FECHA DESEMBOLSO]]),MONTH(Contratos[[#This Row],[FECHA DESEMBOLSO]])+3,DAY(Contratos[[#This Row],[FECHA DESEMBOLSO]]))</f>
        <v>45062</v>
      </c>
      <c r="J98" t="str">
        <f>+_xlfn.XLOOKUP($A98,PRÉSTAMOS!$D:$D,PRÉSTAMOS!S:S)</f>
        <v>Normalización</v>
      </c>
      <c r="K98" s="126">
        <f>+IFERROR(_xlfn.XLOOKUP(Contratos[[#This Row],[No. CONTRATO]],CajaTotal[REFERENCIA],CajaTotal[DEBITO]),0)</f>
        <v>0</v>
      </c>
      <c r="L98" s="125" t="str" cm="1">
        <f t="array" ref="L98">+IFERROR(MAX(_xlfn._xlws.FILTER(CajaTotal[FECHA],CajaTotal[REFERENCIA]=Contratos[[#This Row],[No. CONTRATO]])),"")</f>
        <v/>
      </c>
      <c r="M98" t="str">
        <f>+IF(_xlfn.XLOOKUP($A98,PRÉSTAMOS!$D:$D,PRÉSTAMOS!V:V)=0,"",_xlfn.XLOOKUP($A98,PRÉSTAMOS!$D:$D,PRÉSTAMOS!V:V))</f>
        <v/>
      </c>
      <c r="N98" s="125" t="str">
        <f>+IF(_xlfn.XLOOKUP($A98,PRÉSTAMOS!$D:$D,PRÉSTAMOS!W:W)=0,"",_xlfn.XLOOKUP($A98,PRÉSTAMOS!$D:$D,PRÉSTAMOS!W:W))</f>
        <v/>
      </c>
      <c r="O98" s="125" t="str">
        <f>+IF(_xlfn.XLOOKUP($A98,PRÉSTAMOS!$D:$D,PRÉSTAMOS!X:X)=0,"",_xlfn.XLOOKUP($A98,PRÉSTAMOS!$D:$D,PRÉSTAMOS!X:X))</f>
        <v>EMBARGO ESTRATÉGICO</v>
      </c>
      <c r="R98" t="str">
        <f ca="1">+IF(Contratos[[#This Row],[JURIDICO]]=1,"PROCESO JURIDICO",IF(I98&lt;TODAY(),"VENCIDO","ACTIVO"))</f>
        <v>VENCIDO</v>
      </c>
    </row>
    <row r="99" spans="1:18" x14ac:dyDescent="0.25">
      <c r="A99">
        <v>505</v>
      </c>
      <c r="B99">
        <f>+_xlfn.XLOOKUP($A99,PRÉSTAMOS!$D:$D,PRÉSTAMOS!B:B)</f>
        <v>34056113</v>
      </c>
      <c r="C99" s="126">
        <f>+_xlfn.XLOOKUP($A99,PRÉSTAMOS!$D:$D,PRÉSTAMOS!K:K)</f>
        <v>640000</v>
      </c>
      <c r="D99" s="126" cm="1">
        <f t="array" ref="D99">+ValorProyectado_Aritmetico(C99,0.13,3)</f>
        <v>2389600</v>
      </c>
      <c r="E99" t="str" cm="1">
        <f t="array" ref="E99">+CONVERTIRNUM(D99)</f>
        <v>Dos Millones Trescientos Ochenta y Nueve Mil Seiscientos Pesos</v>
      </c>
      <c r="F99" s="126" cm="1">
        <f t="array" ref="F99">+Honorarios(D99,0.13)</f>
        <v>310648</v>
      </c>
      <c r="G99" s="127">
        <f>+_xlfn.XLOOKUP($A99,PRÉSTAMOS!$D:$D,PRÉSTAMOS!P:P)/100</f>
        <v>0.13</v>
      </c>
      <c r="H99" s="132">
        <v>45154</v>
      </c>
      <c r="I99" s="132">
        <f>+DATE(YEAR(Contratos[[#This Row],[FECHA DESEMBOLSO]]),MONTH(Contratos[[#This Row],[FECHA DESEMBOLSO]])+3,DAY(Contratos[[#This Row],[FECHA DESEMBOLSO]]))</f>
        <v>45246</v>
      </c>
      <c r="J99" t="str">
        <f>+_xlfn.XLOOKUP($A99,PRÉSTAMOS!$D:$D,PRÉSTAMOS!S:S)</f>
        <v>Adelanto</v>
      </c>
      <c r="K99" s="126">
        <v>723200</v>
      </c>
      <c r="L99" s="125">
        <v>45181</v>
      </c>
      <c r="M99" t="s">
        <v>4</v>
      </c>
      <c r="N99" s="125">
        <v>45181</v>
      </c>
      <c r="O99" s="125" t="str">
        <f>+IF(_xlfn.XLOOKUP($A99,PRÉSTAMOS!$D:$D,PRÉSTAMOS!X:X)=0,"",_xlfn.XLOOKUP($A99,PRÉSTAMOS!$D:$D,PRÉSTAMOS!X:X))</f>
        <v>SERGIO RAMIREZ</v>
      </c>
      <c r="R99" t="str">
        <f ca="1">+IF(Contratos[[#This Row],[JURIDICO]]=1,"PROCESO JURIDICO",IF(I99&lt;TODAY(),"VENCIDO","ACTIVO"))</f>
        <v>ACTIVO</v>
      </c>
    </row>
    <row r="100" spans="1:18" x14ac:dyDescent="0.25">
      <c r="A100">
        <v>506</v>
      </c>
      <c r="B100">
        <f>+_xlfn.XLOOKUP($A100,PRÉSTAMOS!$D:$D,PRÉSTAMOS!B:B)</f>
        <v>42055869</v>
      </c>
      <c r="C100" s="126">
        <f>+_xlfn.XLOOKUP($A100,PRÉSTAMOS!$D:$D,PRÉSTAMOS!K:K)</f>
        <v>2540000</v>
      </c>
      <c r="D100" s="126" cm="1">
        <f t="array" ref="D100">+ValorProyectado_Aritmetico(C100,0.13,3)</f>
        <v>5030600</v>
      </c>
      <c r="E100" t="str" cm="1">
        <f t="array" ref="E100">+CONVERTIRNUM(D100)</f>
        <v>Cinco Millones Treinta Mil Seiscientos Pesos</v>
      </c>
      <c r="F100" s="126" cm="1">
        <f t="array" ref="F100">+Honorarios(D100,0.13)</f>
        <v>653978</v>
      </c>
      <c r="G100" s="127">
        <f>+_xlfn.XLOOKUP($A100,PRÉSTAMOS!$D:$D,PRÉSTAMOS!P:P)/100</f>
        <v>0.13</v>
      </c>
      <c r="H100" s="132">
        <v>45154</v>
      </c>
      <c r="I100" s="132">
        <f>+DATE(YEAR(Contratos[[#This Row],[FECHA DESEMBOLSO]]),MONTH(Contratos[[#This Row],[FECHA DESEMBOLSO]])+3,DAY(Contratos[[#This Row],[FECHA DESEMBOLSO]]))</f>
        <v>45246</v>
      </c>
      <c r="J100" t="str">
        <f>+_xlfn.XLOOKUP($A100,PRÉSTAMOS!$D:$D,PRÉSTAMOS!S:S)</f>
        <v>Adelanto</v>
      </c>
      <c r="K100" s="126">
        <f>+IFERROR(_xlfn.XLOOKUP(Contratos[[#This Row],[No. CONTRATO]],CajaTotal[REFERENCIA],CajaTotal[DEBITO]),0)</f>
        <v>0</v>
      </c>
      <c r="L100" s="125" t="str" cm="1">
        <f t="array" ref="L100">+IFERROR(MAX(_xlfn._xlws.FILTER(CajaTotal[FECHA],CajaTotal[REFERENCIA]=Contratos[[#This Row],[No. CONTRATO]])),"")</f>
        <v/>
      </c>
      <c r="M100" t="str">
        <f>+IF(_xlfn.XLOOKUP($A100,PRÉSTAMOS!$D:$D,PRÉSTAMOS!V:V)=0,"",_xlfn.XLOOKUP($A100,PRÉSTAMOS!$D:$D,PRÉSTAMOS!V:V))</f>
        <v/>
      </c>
      <c r="N100" s="125" t="str">
        <f>+IF(_xlfn.XLOOKUP($A100,PRÉSTAMOS!$D:$D,PRÉSTAMOS!W:W)=0,"",_xlfn.XLOOKUP($A100,PRÉSTAMOS!$D:$D,PRÉSTAMOS!W:W))</f>
        <v/>
      </c>
      <c r="O100" s="125" t="str">
        <f>+IF(_xlfn.XLOOKUP($A100,PRÉSTAMOS!$D:$D,PRÉSTAMOS!X:X)=0,"",_xlfn.XLOOKUP($A100,PRÉSTAMOS!$D:$D,PRÉSTAMOS!X:X))</f>
        <v>SERGIO RAMIREZ</v>
      </c>
      <c r="R100" t="str">
        <f ca="1">+IF(Contratos[[#This Row],[JURIDICO]]=1,"PROCESO JURIDICO",IF(I100&lt;TODAY(),"VENCIDO","ACTIVO"))</f>
        <v>ACTIVO</v>
      </c>
    </row>
    <row r="101" spans="1:18" x14ac:dyDescent="0.25">
      <c r="A101" t="s">
        <v>618</v>
      </c>
      <c r="B101">
        <f>+_xlfn.XLOOKUP($A101,PRÉSTAMOS!$D:$D,PRÉSTAMOS!B:B)</f>
        <v>10532530</v>
      </c>
      <c r="C101" s="126">
        <f>+_xlfn.XLOOKUP($A101,PRÉSTAMOS!$D:$D,PRÉSTAMOS!K:K)</f>
        <v>5000000</v>
      </c>
      <c r="D101" s="126" cm="1">
        <f t="array" ref="D101">+ValorProyectado_Aritmetico(C101,0.13,3)</f>
        <v>8450000</v>
      </c>
      <c r="E101" t="str" cm="1">
        <f t="array" ref="E101">+CONVERTIRNUM(D101)</f>
        <v>Ocho Millones Cuatrocientos Cincuenta Mil Pesos</v>
      </c>
      <c r="F101" s="126" cm="1">
        <f t="array" ref="F101">+Honorarios(D101,0.13)</f>
        <v>1098500</v>
      </c>
      <c r="G101" s="127">
        <f>+_xlfn.XLOOKUP($A101,PRÉSTAMOS!$D:$D,PRÉSTAMOS!P:P)/100</f>
        <v>0.13</v>
      </c>
      <c r="H101" s="132">
        <v>45002</v>
      </c>
      <c r="I101" s="132">
        <f>+DATE(YEAR(Contratos[[#This Row],[FECHA DESEMBOLSO]]),MONTH(Contratos[[#This Row],[FECHA DESEMBOLSO]])+3,DAY(Contratos[[#This Row],[FECHA DESEMBOLSO]]))</f>
        <v>45094</v>
      </c>
      <c r="J101" t="str">
        <f>+_xlfn.XLOOKUP($A101,PRÉSTAMOS!$D:$D,PRÉSTAMOS!S:S)</f>
        <v>Adelanto</v>
      </c>
      <c r="K101" s="126">
        <f>+IFERROR(_xlfn.XLOOKUP(Contratos[[#This Row],[No. CONTRATO]],CajaTotal[REFERENCIA],CajaTotal[DEBITO]),0)</f>
        <v>0</v>
      </c>
      <c r="L101" s="125" t="str" cm="1">
        <f t="array" ref="L101">+IFERROR(MAX(_xlfn._xlws.FILTER(CajaTotal[FECHA],CajaTotal[REFERENCIA]=Contratos[[#This Row],[No. CONTRATO]])),"")</f>
        <v/>
      </c>
      <c r="M101" t="str">
        <f>+IF(_xlfn.XLOOKUP($A101,PRÉSTAMOS!$D:$D,PRÉSTAMOS!V:V)=0,"",_xlfn.XLOOKUP($A101,PRÉSTAMOS!$D:$D,PRÉSTAMOS!V:V))</f>
        <v/>
      </c>
      <c r="N101" s="125" t="str">
        <f>+IF(_xlfn.XLOOKUP($A101,PRÉSTAMOS!$D:$D,PRÉSTAMOS!W:W)=0,"",_xlfn.XLOOKUP($A101,PRÉSTAMOS!$D:$D,PRÉSTAMOS!W:W))</f>
        <v/>
      </c>
      <c r="O101" s="125" t="str">
        <f>+IF(_xlfn.XLOOKUP($A101,PRÉSTAMOS!$D:$D,PRÉSTAMOS!X:X)=0,"",_xlfn.XLOOKUP($A101,PRÉSTAMOS!$D:$D,PRÉSTAMOS!X:X))</f>
        <v>EMBARGO ESTRATÉGICO</v>
      </c>
      <c r="R101" t="str">
        <f ca="1">+IF(Contratos[[#This Row],[JURIDICO]]=1,"PROCESO JURIDICO",IF(I101&lt;TODAY(),"VENCIDO","ACTIVO"))</f>
        <v>VENCIDO</v>
      </c>
    </row>
    <row r="102" spans="1:18" x14ac:dyDescent="0.25">
      <c r="A102">
        <v>427</v>
      </c>
      <c r="B102">
        <f>+_xlfn.XLOOKUP($A102,PRÉSTAMOS!$D:$D,PRÉSTAMOS!B:B)</f>
        <v>24937844</v>
      </c>
      <c r="C102" s="126">
        <f>+_xlfn.XLOOKUP($A102,PRÉSTAMOS!$D:$D,PRÉSTAMOS!K:K)</f>
        <v>540000</v>
      </c>
      <c r="D102" s="126" cm="1">
        <f t="array" ref="D102">+ValorProyectado_Aritmetico(C102,0.13,3)</f>
        <v>2250600</v>
      </c>
      <c r="E102" t="str" cm="1">
        <f t="array" ref="E102">+CONVERTIRNUM(D102)</f>
        <v>Dos Millones Doscientos Cincuenta Mil Seiscientos Pesos</v>
      </c>
      <c r="F102" s="126" cm="1">
        <f t="array" ref="F102">+Honorarios(D102,0.13)</f>
        <v>292578</v>
      </c>
      <c r="G102" s="127">
        <f>+_xlfn.XLOOKUP($A102,PRÉSTAMOS!$D:$D,PRÉSTAMOS!P:P)/100</f>
        <v>0.13</v>
      </c>
      <c r="H102" s="132">
        <v>45160</v>
      </c>
      <c r="I102" s="132">
        <f>+DATE(YEAR(Contratos[[#This Row],[FECHA DESEMBOLSO]]),MONTH(Contratos[[#This Row],[FECHA DESEMBOLSO]])+3,DAY(Contratos[[#This Row],[FECHA DESEMBOLSO]]))</f>
        <v>45252</v>
      </c>
      <c r="J102" t="str">
        <f>+_xlfn.XLOOKUP($A102,PRÉSTAMOS!$D:$D,PRÉSTAMOS!S:S)</f>
        <v>Préstamo</v>
      </c>
      <c r="K102" s="126">
        <f>+IFERROR(_xlfn.XLOOKUP(Contratos[[#This Row],[No. CONTRATO]],CajaTotal[REFERENCIA],CajaTotal[DEBITO]),0)</f>
        <v>0</v>
      </c>
      <c r="L102" s="125" t="str" cm="1">
        <f t="array" ref="L102">+IFERROR(MAX(_xlfn._xlws.FILTER(CajaTotal[FECHA],CajaTotal[REFERENCIA]=Contratos[[#This Row],[No. CONTRATO]])),"")</f>
        <v/>
      </c>
      <c r="M102" t="str">
        <f>+IF(_xlfn.XLOOKUP($A102,PRÉSTAMOS!$D:$D,PRÉSTAMOS!V:V)=0,"",_xlfn.XLOOKUP($A102,PRÉSTAMOS!$D:$D,PRÉSTAMOS!V:V))</f>
        <v/>
      </c>
      <c r="N102" s="125" t="str">
        <f>+IF(_xlfn.XLOOKUP($A102,PRÉSTAMOS!$D:$D,PRÉSTAMOS!W:W)=0,"",_xlfn.XLOOKUP($A102,PRÉSTAMOS!$D:$D,PRÉSTAMOS!W:W))</f>
        <v/>
      </c>
      <c r="O102" s="125" t="str">
        <f>+IF(_xlfn.XLOOKUP($A102,PRÉSTAMOS!$D:$D,PRÉSTAMOS!X:X)=0,"",_xlfn.XLOOKUP($A102,PRÉSTAMOS!$D:$D,PRÉSTAMOS!X:X))</f>
        <v>SERGIO RAMIREZ</v>
      </c>
      <c r="R102" t="str">
        <f ca="1">+IF(Contratos[[#This Row],[JURIDICO]]=1,"PROCESO JURIDICO",IF(I102&lt;TODAY(),"VENCIDO","ACTIVO"))</f>
        <v>ACTIVO</v>
      </c>
    </row>
    <row r="103" spans="1:18" x14ac:dyDescent="0.25">
      <c r="A103">
        <v>428</v>
      </c>
      <c r="B103">
        <f>+_xlfn.XLOOKUP($A103,PRÉSTAMOS!$D:$D,PRÉSTAMOS!B:B)</f>
        <v>16231799</v>
      </c>
      <c r="C103" s="126">
        <f>+_xlfn.XLOOKUP($A103,PRÉSTAMOS!$D:$D,PRÉSTAMOS!K:K)</f>
        <v>2040000</v>
      </c>
      <c r="D103" s="126" cm="1">
        <f t="array" ref="D103">+ValorProyectado_Aritmetico(C103,0.13,3)</f>
        <v>4335600</v>
      </c>
      <c r="E103" t="str" cm="1">
        <f t="array" ref="E103">+CONVERTIRNUM(D103)</f>
        <v>Cuatro Millones Trescientos Treinta y Cinco Mil Seiscientos Pesos</v>
      </c>
      <c r="F103" s="126" cm="1">
        <f t="array" ref="F103">+Honorarios(D103,0.13)</f>
        <v>563628</v>
      </c>
      <c r="G103" s="127">
        <f>+_xlfn.XLOOKUP($A103,PRÉSTAMOS!$D:$D,PRÉSTAMOS!P:P)/100</f>
        <v>0.13</v>
      </c>
      <c r="H103" s="132">
        <v>45160</v>
      </c>
      <c r="I103" s="132">
        <f>+DATE(YEAR(Contratos[[#This Row],[FECHA DESEMBOLSO]]),MONTH(Contratos[[#This Row],[FECHA DESEMBOLSO]])+3,DAY(Contratos[[#This Row],[FECHA DESEMBOLSO]]))</f>
        <v>45252</v>
      </c>
      <c r="J103" t="str">
        <f>+_xlfn.XLOOKUP($A103,PRÉSTAMOS!$D:$D,PRÉSTAMOS!S:S)</f>
        <v>Adelanto</v>
      </c>
      <c r="K103" s="126">
        <f>+IFERROR(_xlfn.XLOOKUP(Contratos[[#This Row],[No. CONTRATO]],CajaTotal[REFERENCIA],CajaTotal[DEBITO]),0)</f>
        <v>0</v>
      </c>
      <c r="L103" s="125" t="str" cm="1">
        <f t="array" ref="L103">+IFERROR(MAX(_xlfn._xlws.FILTER(CajaTotal[FECHA],CajaTotal[REFERENCIA]=Contratos[[#This Row],[No. CONTRATO]])),"")</f>
        <v/>
      </c>
      <c r="M103" t="str">
        <f>+IF(_xlfn.XLOOKUP($A103,PRÉSTAMOS!$D:$D,PRÉSTAMOS!V:V)=0,"",_xlfn.XLOOKUP($A103,PRÉSTAMOS!$D:$D,PRÉSTAMOS!V:V))</f>
        <v/>
      </c>
      <c r="N103" s="125" t="str">
        <f>+IF(_xlfn.XLOOKUP($A103,PRÉSTAMOS!$D:$D,PRÉSTAMOS!W:W)=0,"",_xlfn.XLOOKUP($A103,PRÉSTAMOS!$D:$D,PRÉSTAMOS!W:W))</f>
        <v/>
      </c>
      <c r="O103" s="125" t="str">
        <f>+IF(_xlfn.XLOOKUP($A103,PRÉSTAMOS!$D:$D,PRÉSTAMOS!X:X)=0,"",_xlfn.XLOOKUP($A103,PRÉSTAMOS!$D:$D,PRÉSTAMOS!X:X))</f>
        <v>SERGIO RAMIREZ</v>
      </c>
      <c r="R103" t="str">
        <f ca="1">+IF(Contratos[[#This Row],[JURIDICO]]=1,"PROCESO JURIDICO",IF(I103&lt;TODAY(),"VENCIDO","ACTIVO"))</f>
        <v>ACTIVO</v>
      </c>
    </row>
    <row r="104" spans="1:18" x14ac:dyDescent="0.25">
      <c r="A104">
        <v>512</v>
      </c>
      <c r="B104">
        <f>+_xlfn.XLOOKUP($A104,PRÉSTAMOS!$D:$D,PRÉSTAMOS!B:B)</f>
        <v>31419074</v>
      </c>
      <c r="C104" s="126">
        <f>+_xlfn.XLOOKUP($A104,PRÉSTAMOS!$D:$D,PRÉSTAMOS!K:K)</f>
        <v>500000</v>
      </c>
      <c r="D104" s="126" cm="1">
        <f t="array" ref="D104">+ValorProyectado_Aritmetico(C104,0.13,3)</f>
        <v>2195000</v>
      </c>
      <c r="E104" t="str" cm="1">
        <f t="array" ref="E104">+CONVERTIRNUM(D104)</f>
        <v>Dos Millones Ciento Noventa y Cinco Mil Pesos</v>
      </c>
      <c r="F104" s="126" cm="1">
        <f t="array" ref="F104">+Honorarios(D104,0.13)</f>
        <v>285350</v>
      </c>
      <c r="G104" s="127">
        <f>+_xlfn.XLOOKUP($A104,PRÉSTAMOS!$D:$D,PRÉSTAMOS!P:P)/100</f>
        <v>0.13</v>
      </c>
      <c r="H104" s="132">
        <v>45162</v>
      </c>
      <c r="I104" s="132">
        <f>+DATE(YEAR(Contratos[[#This Row],[FECHA DESEMBOLSO]]),MONTH(Contratos[[#This Row],[FECHA DESEMBOLSO]])+3,DAY(Contratos[[#This Row],[FECHA DESEMBOLSO]]))</f>
        <v>45254</v>
      </c>
      <c r="J104" t="str">
        <f>+_xlfn.XLOOKUP($A104,PRÉSTAMOS!$D:$D,PRÉSTAMOS!S:S)</f>
        <v>Préstamo</v>
      </c>
      <c r="K104" s="126">
        <f>+IFERROR(_xlfn.XLOOKUP(Contratos[[#This Row],[No. CONTRATO]],CajaTotal[REFERENCIA],CajaTotal[DEBITO]),0)</f>
        <v>0</v>
      </c>
      <c r="L104" s="125" t="str" cm="1">
        <f t="array" ref="L104">+IFERROR(MAX(_xlfn._xlws.FILTER(CajaTotal[FECHA],CajaTotal[REFERENCIA]=Contratos[[#This Row],[No. CONTRATO]])),"")</f>
        <v/>
      </c>
      <c r="M104" t="str">
        <f>+IF(_xlfn.XLOOKUP($A104,PRÉSTAMOS!$D:$D,PRÉSTAMOS!V:V)=0,"",_xlfn.XLOOKUP($A104,PRÉSTAMOS!$D:$D,PRÉSTAMOS!V:V))</f>
        <v/>
      </c>
      <c r="N104" s="125" t="str">
        <f>+IF(_xlfn.XLOOKUP($A104,PRÉSTAMOS!$D:$D,PRÉSTAMOS!W:W)=0,"",_xlfn.XLOOKUP($A104,PRÉSTAMOS!$D:$D,PRÉSTAMOS!W:W))</f>
        <v/>
      </c>
      <c r="O104" s="125" t="str">
        <f>+IF(_xlfn.XLOOKUP($A104,PRÉSTAMOS!$D:$D,PRÉSTAMOS!X:X)=0,"",_xlfn.XLOOKUP($A104,PRÉSTAMOS!$D:$D,PRÉSTAMOS!X:X))</f>
        <v>FRANCISCO VALENCIA</v>
      </c>
      <c r="R104" t="str">
        <f ca="1">+IF(Contratos[[#This Row],[JURIDICO]]=1,"PROCESO JURIDICO",IF(I104&lt;TODAY(),"VENCIDO","ACTIVO"))</f>
        <v>ACTIVO</v>
      </c>
    </row>
    <row r="105" spans="1:18" x14ac:dyDescent="0.25">
      <c r="A105">
        <v>513</v>
      </c>
      <c r="B105">
        <f>+_xlfn.XLOOKUP($A105,PRÉSTAMOS!$D:$D,PRÉSTAMOS!B:B)</f>
        <v>25157828</v>
      </c>
      <c r="C105" s="126">
        <f>+_xlfn.XLOOKUP($A105,PRÉSTAMOS!$D:$D,PRÉSTAMOS!K:K)</f>
        <v>840000</v>
      </c>
      <c r="D105" s="126" cm="1">
        <f t="array" ref="D105">+ValorProyectado_Aritmetico(C105,0.13,3)</f>
        <v>2667600</v>
      </c>
      <c r="E105" t="str" cm="1">
        <f t="array" ref="E105">+CONVERTIRNUM(D105)</f>
        <v>Dos Millones Seiscientos Sesenta y Siete Mil Seiscientos Pesos</v>
      </c>
      <c r="F105" s="126" cm="1">
        <f t="array" ref="F105">+Honorarios(D105,0.13)</f>
        <v>346788</v>
      </c>
      <c r="G105" s="127">
        <f>+_xlfn.XLOOKUP($A105,PRÉSTAMOS!$D:$D,PRÉSTAMOS!P:P)/100</f>
        <v>0.13</v>
      </c>
      <c r="H105" s="132">
        <v>45162</v>
      </c>
      <c r="I105" s="132">
        <f>+DATE(YEAR(Contratos[[#This Row],[FECHA DESEMBOLSO]]),MONTH(Contratos[[#This Row],[FECHA DESEMBOLSO]])+3,DAY(Contratos[[#This Row],[FECHA DESEMBOLSO]]))</f>
        <v>45254</v>
      </c>
      <c r="J105" t="str">
        <f>+_xlfn.XLOOKUP($A105,PRÉSTAMOS!$D:$D,PRÉSTAMOS!S:S)</f>
        <v>Adelanto</v>
      </c>
      <c r="K105" s="126">
        <f>+IFERROR(_xlfn.XLOOKUP(Contratos[[#This Row],[No. CONTRATO]],CajaTotal[REFERENCIA],CajaTotal[DEBITO]),0)</f>
        <v>0</v>
      </c>
      <c r="L105" s="125" t="str" cm="1">
        <f t="array" ref="L105">+IFERROR(MAX(_xlfn._xlws.FILTER(CajaTotal[FECHA],CajaTotal[REFERENCIA]=Contratos[[#This Row],[No. CONTRATO]])),"")</f>
        <v/>
      </c>
      <c r="M105" t="str">
        <f>+IF(_xlfn.XLOOKUP($A105,PRÉSTAMOS!$D:$D,PRÉSTAMOS!V:V)=0,"",_xlfn.XLOOKUP($A105,PRÉSTAMOS!$D:$D,PRÉSTAMOS!V:V))</f>
        <v/>
      </c>
      <c r="N105" s="125" t="str">
        <f>+IF(_xlfn.XLOOKUP($A105,PRÉSTAMOS!$D:$D,PRÉSTAMOS!W:W)=0,"",_xlfn.XLOOKUP($A105,PRÉSTAMOS!$D:$D,PRÉSTAMOS!W:W))</f>
        <v/>
      </c>
      <c r="O105" t="str">
        <f>+IF(_xlfn.XLOOKUP($A105,PRÉSTAMOS!$D:$D,PRÉSTAMOS!X:X)=0,"",_xlfn.XLOOKUP($A105,PRÉSTAMOS!$D:$D,PRÉSTAMOS!X:X))</f>
        <v>SERGIO RAMIREZ</v>
      </c>
      <c r="R105" t="str">
        <f ca="1">+IF(Contratos[[#This Row],[JURIDICO]]=1,"PROCESO JURIDICO",IF(I105&lt;TODAY(),"VENCIDO","ACTIVO"))</f>
        <v>ACTIVO</v>
      </c>
    </row>
    <row r="106" spans="1:18" x14ac:dyDescent="0.25">
      <c r="A106">
        <v>514</v>
      </c>
      <c r="B106">
        <f>+_xlfn.XLOOKUP($A106,PRÉSTAMOS!$D:$D,PRÉSTAMOS!B:B)</f>
        <v>24929445</v>
      </c>
      <c r="C106" s="126">
        <f>+_xlfn.XLOOKUP($A106,PRÉSTAMOS!$D:$D,PRÉSTAMOS!K:K)</f>
        <v>1000000</v>
      </c>
      <c r="D106" s="126" cm="1">
        <f t="array" ref="D106">+ValorProyectado_Aritmetico(C106,0.13,3)</f>
        <v>2890000</v>
      </c>
      <c r="E106" t="str" cm="1">
        <f t="array" ref="E106">+CONVERTIRNUM(D106)</f>
        <v>Dos Millones Ochocientos Noventa Mil Pesos</v>
      </c>
      <c r="F106" s="126" cm="1">
        <f t="array" ref="F106">+Honorarios(D106,0.13)</f>
        <v>375700</v>
      </c>
      <c r="G106" s="127">
        <f>+_xlfn.XLOOKUP($A106,PRÉSTAMOS!$D:$D,PRÉSTAMOS!P:P)/100</f>
        <v>0.13</v>
      </c>
      <c r="H106" s="132">
        <v>45163</v>
      </c>
      <c r="I106" s="132">
        <f>+DATE(YEAR(Contratos[[#This Row],[FECHA DESEMBOLSO]]),MONTH(Contratos[[#This Row],[FECHA DESEMBOLSO]])+3,DAY(Contratos[[#This Row],[FECHA DESEMBOLSO]]))</f>
        <v>45255</v>
      </c>
      <c r="J106" t="str">
        <f>+_xlfn.XLOOKUP($A106,PRÉSTAMOS!$D:$D,PRÉSTAMOS!S:S)</f>
        <v>Adelanto</v>
      </c>
      <c r="K106" s="126">
        <f>+IFERROR(_xlfn.XLOOKUP(Contratos[[#This Row],[No. CONTRATO]],CajaTotal[REFERENCIA],CajaTotal[DEBITO]),0)</f>
        <v>0</v>
      </c>
      <c r="L106" s="125" cm="1">
        <f t="array" ref="L106">+IFERROR(MAX(_xlfn._xlws.FILTER(CajaTotal[FECHA],CajaTotal[REFERENCIA]=Contratos[[#This Row],[No. CONTRATO]])),"")</f>
        <v>45167</v>
      </c>
      <c r="M106" t="str">
        <f>+IF(_xlfn.XLOOKUP($A106,PRÉSTAMOS!$D:$D,PRÉSTAMOS!V:V)=0,"",_xlfn.XLOOKUP($A106,PRÉSTAMOS!$D:$D,PRÉSTAMOS!V:V))</f>
        <v/>
      </c>
      <c r="N106" s="125" t="str">
        <f>+IF(_xlfn.XLOOKUP($A106,PRÉSTAMOS!$D:$D,PRÉSTAMOS!W:W)=0,"",_xlfn.XLOOKUP($A106,PRÉSTAMOS!$D:$D,PRÉSTAMOS!W:W))</f>
        <v/>
      </c>
      <c r="O106" t="str">
        <f>+IF(_xlfn.XLOOKUP($A106,PRÉSTAMOS!$D:$D,PRÉSTAMOS!X:X)=0,"",_xlfn.XLOOKUP($A106,PRÉSTAMOS!$D:$D,PRÉSTAMOS!X:X))</f>
        <v>FRANCISCO VALENCIA</v>
      </c>
      <c r="R106" t="str">
        <f ca="1">+IF(Contratos[[#This Row],[JURIDICO]]=1,"PROCESO JURIDICO",IF(I106&lt;TODAY(),"VENCIDO","ACTIVO"))</f>
        <v>ACTIVO</v>
      </c>
    </row>
    <row r="107" spans="1:18" x14ac:dyDescent="0.25">
      <c r="A107" t="s">
        <v>948</v>
      </c>
      <c r="B107">
        <f>+_xlfn.XLOOKUP($A107,PRÉSTAMOS!$D:$D,PRÉSTAMOS!B:B)</f>
        <v>1053802967</v>
      </c>
      <c r="C107" s="126">
        <f>+_xlfn.XLOOKUP($A107,PRÉSTAMOS!$D:$D,PRÉSTAMOS!K:K)</f>
        <v>30000000</v>
      </c>
      <c r="D107" s="126" cm="1">
        <f t="array" ref="D107">+ValorProyectado_Aritmetico(C107,0.13,3)</f>
        <v>43200000</v>
      </c>
      <c r="E107" t="str" cm="1">
        <f t="array" ref="E107">+CONVERTIRNUM(D107)</f>
        <v>Cuarenta y Tres Millones Doscientos Mil Pesos</v>
      </c>
      <c r="F107" s="126" cm="1">
        <f t="array" ref="F107">+Honorarios(D107,0.13)</f>
        <v>5616000</v>
      </c>
      <c r="G107" s="127">
        <f>+_xlfn.XLOOKUP($A107,PRÉSTAMOS!$D:$D,PRÉSTAMOS!P:P)/100</f>
        <v>0.13</v>
      </c>
      <c r="H107" s="132">
        <v>45010</v>
      </c>
      <c r="I107" s="132">
        <f>+DATE(YEAR(Contratos[[#This Row],[FECHA DESEMBOLSO]]),MONTH(Contratos[[#This Row],[FECHA DESEMBOLSO]])+3,DAY(Contratos[[#This Row],[FECHA DESEMBOLSO]]))</f>
        <v>45102</v>
      </c>
      <c r="J107" t="str">
        <f>+_xlfn.XLOOKUP($A107,PRÉSTAMOS!$D:$D,PRÉSTAMOS!S:S)</f>
        <v>Normalización</v>
      </c>
      <c r="K107" s="126">
        <f>+IFERROR(_xlfn.XLOOKUP(Contratos[[#This Row],[No. CONTRATO]],CajaTotal[REFERENCIA],CajaTotal[DEBITO]),0)</f>
        <v>0</v>
      </c>
      <c r="L107" s="125" t="str" cm="1">
        <f t="array" ref="L107">+IFERROR(MAX(_xlfn._xlws.FILTER(CajaTotal[FECHA],CajaTotal[REFERENCIA]=Contratos[[#This Row],[No. CONTRATO]])),"")</f>
        <v/>
      </c>
      <c r="M107" t="str">
        <f>+IF(_xlfn.XLOOKUP($A107,PRÉSTAMOS!$D:$D,PRÉSTAMOS!V:V)=0,"",_xlfn.XLOOKUP($A107,PRÉSTAMOS!$D:$D,PRÉSTAMOS!V:V))</f>
        <v/>
      </c>
      <c r="N107" s="125" t="str">
        <f>+IF(_xlfn.XLOOKUP($A107,PRÉSTAMOS!$D:$D,PRÉSTAMOS!W:W)=0,"",_xlfn.XLOOKUP($A107,PRÉSTAMOS!$D:$D,PRÉSTAMOS!W:W))</f>
        <v/>
      </c>
      <c r="O107" t="str">
        <f>+IF(_xlfn.XLOOKUP($A107,PRÉSTAMOS!$D:$D,PRÉSTAMOS!X:X)=0,"",_xlfn.XLOOKUP($A107,PRÉSTAMOS!$D:$D,PRÉSTAMOS!X:X))</f>
        <v>EMBARGO ESTRATÉGICO</v>
      </c>
      <c r="R107" t="str">
        <f ca="1">+IF(Contratos[[#This Row],[JURIDICO]]=1,"PROCESO JURIDICO",IF(I107&lt;TODAY(),"VENCIDO","ACTIVO"))</f>
        <v>VENCIDO</v>
      </c>
    </row>
    <row r="108" spans="1:18" x14ac:dyDescent="0.25">
      <c r="A108">
        <v>515</v>
      </c>
      <c r="B108">
        <v>10183030</v>
      </c>
      <c r="C108" s="126">
        <v>1500000</v>
      </c>
      <c r="D108" s="126" cm="1">
        <f t="array" ref="D108">+ValorProyectado_Aritmetico(C108,0.13,3)</f>
        <v>3585000</v>
      </c>
      <c r="E108" t="str" cm="1">
        <f t="array" ref="E108">+CONVERTIRNUM(D108)</f>
        <v>Tres Millones Quinientos Ochenta y Cinco Mil Pesos</v>
      </c>
      <c r="F108" s="126" cm="1">
        <f t="array" ref="F108">+Honorarios(D108,0.13)</f>
        <v>466050</v>
      </c>
      <c r="G108" s="127">
        <v>0.13</v>
      </c>
      <c r="H108" s="132">
        <v>45168</v>
      </c>
      <c r="I108" s="132">
        <f>+DATE(YEAR(Contratos[[#This Row],[FECHA DESEMBOLSO]]),MONTH(Contratos[[#This Row],[FECHA DESEMBOLSO]])+3,DAY(Contratos[[#This Row],[FECHA DESEMBOLSO]]))</f>
        <v>45260</v>
      </c>
      <c r="J108" t="s">
        <v>641</v>
      </c>
      <c r="K108" s="126">
        <f>+IFERROR(_xlfn.XLOOKUP(Contratos[[#This Row],[No. CONTRATO]],CajaTotal[REFERENCIA],CajaTotal[DEBITO]),0)</f>
        <v>0</v>
      </c>
      <c r="L108" s="125" t="str" cm="1">
        <f t="array" ref="L108">+IFERROR(MAX(_xlfn._xlws.FILTER(CajaTotal[FECHA],CajaTotal[REFERENCIA]=Contratos[[#This Row],[No. CONTRATO]])),"")</f>
        <v/>
      </c>
      <c r="M108" t="str">
        <f>+IF(_xlfn.XLOOKUP($A108,PRÉSTAMOS!$D:$D,PRÉSTAMOS!V:V)=0,"",_xlfn.XLOOKUP($A108,PRÉSTAMOS!$D:$D,PRÉSTAMOS!V:V))</f>
        <v/>
      </c>
      <c r="N108" s="125" t="str">
        <f>+IF(_xlfn.XLOOKUP($A108,PRÉSTAMOS!$D:$D,PRÉSTAMOS!W:W)=0,"",_xlfn.XLOOKUP($A108,PRÉSTAMOS!$D:$D,PRÉSTAMOS!W:W))</f>
        <v/>
      </c>
      <c r="R108" t="str">
        <f ca="1">+IF(Contratos[[#This Row],[JURIDICO]]=1,"PROCESO JURIDICO",IF(I108&lt;TODAY(),"VENCIDO","ACTIVO"))</f>
        <v>ACTIVO</v>
      </c>
    </row>
    <row r="109" spans="1:18" x14ac:dyDescent="0.25">
      <c r="A109">
        <v>516</v>
      </c>
      <c r="B109">
        <f>+_xlfn.XLOOKUP($A109,PRÉSTAMOS!$D:$D,PRÉSTAMOS!B:B)</f>
        <v>24761361</v>
      </c>
      <c r="C109" s="126">
        <f>+_xlfn.XLOOKUP($A109,PRÉSTAMOS!$D:$D,PRÉSTAMOS!K:K)</f>
        <v>1000000</v>
      </c>
      <c r="D109" s="126" cm="1">
        <f t="array" ref="D109">+ValorProyectado_Aritmetico(C109,0.13,3)</f>
        <v>2890000</v>
      </c>
      <c r="E109" t="str" cm="1">
        <f t="array" ref="E109">+CONVERTIRNUM(D109)</f>
        <v>Dos Millones Ochocientos Noventa Mil Pesos</v>
      </c>
      <c r="F109" s="126" cm="1">
        <f t="array" ref="F109">+Honorarios(D109,0.13)</f>
        <v>375700</v>
      </c>
      <c r="G109" s="127">
        <f>+_xlfn.XLOOKUP($A109,PRÉSTAMOS!$D:$D,PRÉSTAMOS!P:P)/100</f>
        <v>0.13</v>
      </c>
      <c r="H109" s="132">
        <v>45173</v>
      </c>
      <c r="I109" s="132">
        <f>+DATE(YEAR(Contratos[[#This Row],[FECHA DESEMBOLSO]]),MONTH(Contratos[[#This Row],[FECHA DESEMBOLSO]])+3,DAY(Contratos[[#This Row],[FECHA DESEMBOLSO]]))</f>
        <v>45264</v>
      </c>
      <c r="J109" t="str">
        <f>+_xlfn.XLOOKUP($A109,PRÉSTAMOS!$D:$D,PRÉSTAMOS!S:S)</f>
        <v>Préstamo Personal</v>
      </c>
      <c r="K109" s="126">
        <f>+IFERROR(_xlfn.XLOOKUP(Contratos[[#This Row],[No. CONTRATO]],CajaTotal[REFERENCIA],CajaTotal[DEBITO]),0)</f>
        <v>0</v>
      </c>
      <c r="L109" s="125" cm="1">
        <f t="array" ref="L109">+IFERROR(MAX(_xlfn._xlws.FILTER(CajaTotal[FECHA],CajaTotal[REFERENCIA]=Contratos[[#This Row],[No. CONTRATO]])),"")</f>
        <v>45173</v>
      </c>
      <c r="M109" t="str">
        <f>+IF(_xlfn.XLOOKUP($A109,PRÉSTAMOS!$D:$D,PRÉSTAMOS!V:V)=0,"",_xlfn.XLOOKUP($A109,PRÉSTAMOS!$D:$D,PRÉSTAMOS!V:V))</f>
        <v/>
      </c>
      <c r="N109" s="125" t="str">
        <f>+IF(_xlfn.XLOOKUP($A109,PRÉSTAMOS!$D:$D,PRÉSTAMOS!W:W)=0,"",_xlfn.XLOOKUP($A109,PRÉSTAMOS!$D:$D,PRÉSTAMOS!W:W))</f>
        <v/>
      </c>
      <c r="O109" t="str">
        <f>+IF(_xlfn.XLOOKUP($A109,PRÉSTAMOS!$D:$D,PRÉSTAMOS!X:X)=0,"",_xlfn.XLOOKUP($A109,PRÉSTAMOS!$D:$D,PRÉSTAMOS!X:X))</f>
        <v>FRANCISCO VALENCIA</v>
      </c>
      <c r="R109" t="str">
        <f ca="1">+IF(Contratos[[#This Row],[JURIDICO]]=1,"PROCESO JURIDICO",IF(I109&lt;TODAY(),"VENCIDO","ACTIVO"))</f>
        <v>ACTIVO</v>
      </c>
    </row>
    <row r="110" spans="1:18" x14ac:dyDescent="0.25">
      <c r="A110">
        <v>517</v>
      </c>
      <c r="B110">
        <f>+_xlfn.XLOOKUP($A110,PRÉSTAMOS!$D:$D,PRÉSTAMOS!B:B)</f>
        <v>1087994842</v>
      </c>
      <c r="C110" s="126">
        <f>+_xlfn.XLOOKUP($A110,PRÉSTAMOS!$D:$D,PRÉSTAMOS!K:K)</f>
        <v>500000</v>
      </c>
      <c r="D110" s="126" cm="1">
        <f t="array" ref="D110">+ValorProyectado_Aritmetico(C110,0.13,3)</f>
        <v>2195000</v>
      </c>
      <c r="E110" t="str" cm="1">
        <f t="array" ref="E110">+CONVERTIRNUM(D110)</f>
        <v>Dos Millones Ciento Noventa y Cinco Mil Pesos</v>
      </c>
      <c r="F110" s="126" cm="1">
        <f t="array" ref="F110">+Honorarios(D110,0.13)</f>
        <v>285350</v>
      </c>
      <c r="G110" s="127">
        <f>+_xlfn.XLOOKUP($A110,PRÉSTAMOS!$D:$D,PRÉSTAMOS!P:P)/100</f>
        <v>0.13</v>
      </c>
      <c r="H110" s="132">
        <v>45173</v>
      </c>
      <c r="I110" s="132">
        <f>+DATE(YEAR(Contratos[[#This Row],[FECHA DESEMBOLSO]]),MONTH(Contratos[[#This Row],[FECHA DESEMBOLSO]])+3,DAY(Contratos[[#This Row],[FECHA DESEMBOLSO]]))</f>
        <v>45264</v>
      </c>
      <c r="J110" t="str">
        <f>+_xlfn.XLOOKUP($A110,PRÉSTAMOS!$D:$D,PRÉSTAMOS!S:S)</f>
        <v>Préstamo Personal</v>
      </c>
      <c r="K110" s="126">
        <f>+IFERROR(_xlfn.XLOOKUP(Contratos[[#This Row],[No. CONTRATO]],CajaTotal[REFERENCIA],CajaTotal[DEBITO]),0)</f>
        <v>0</v>
      </c>
      <c r="L110" s="125" cm="1">
        <f t="array" ref="L110">+IFERROR(MAX(_xlfn._xlws.FILTER(CajaTotal[FECHA],CajaTotal[REFERENCIA]=Contratos[[#This Row],[No. CONTRATO]])),"")</f>
        <v>45181</v>
      </c>
      <c r="M110" t="str">
        <f>+IF(_xlfn.XLOOKUP($A110,PRÉSTAMOS!$D:$D,PRÉSTAMOS!V:V)=0,"",_xlfn.XLOOKUP($A110,PRÉSTAMOS!$D:$D,PRÉSTAMOS!V:V))</f>
        <v/>
      </c>
      <c r="N110" s="125" t="str">
        <f>+IF(_xlfn.XLOOKUP($A110,PRÉSTAMOS!$D:$D,PRÉSTAMOS!W:W)=0,"",_xlfn.XLOOKUP($A110,PRÉSTAMOS!$D:$D,PRÉSTAMOS!W:W))</f>
        <v/>
      </c>
      <c r="O110" t="str">
        <f>+IF(_xlfn.XLOOKUP($A110,PRÉSTAMOS!$D:$D,PRÉSTAMOS!X:X)=0,"",_xlfn.XLOOKUP($A110,PRÉSTAMOS!$D:$D,PRÉSTAMOS!X:X))</f>
        <v>FRANCISCO VALENCIA</v>
      </c>
      <c r="R110" t="str">
        <f ca="1">+IF(Contratos[[#This Row],[JURIDICO]]=1,"PROCESO JURIDICO",IF(I110&lt;TODAY(),"VENCIDO","ACTIVO"))</f>
        <v>ACTIVO</v>
      </c>
    </row>
    <row r="111" spans="1:18" x14ac:dyDescent="0.25">
      <c r="A111">
        <v>518</v>
      </c>
      <c r="B111">
        <f>+_xlfn.XLOOKUP($A111,PRÉSTAMOS!$D:$D,PRÉSTAMOS!B:B)</f>
        <v>9955716</v>
      </c>
      <c r="C111" s="126">
        <f>+_xlfn.XLOOKUP($A111,PRÉSTAMOS!$D:$D,PRÉSTAMOS!K:K)</f>
        <v>1000000</v>
      </c>
      <c r="D111" s="126" cm="1">
        <f t="array" ref="D111">+ValorProyectado_Aritmetico(C111,0.13,3)</f>
        <v>2890000</v>
      </c>
      <c r="E111" t="str" cm="1">
        <f t="array" ref="E111">+CONVERTIRNUM(D111)</f>
        <v>Dos Millones Ochocientos Noventa Mil Pesos</v>
      </c>
      <c r="F111" s="126" cm="1">
        <f t="array" ref="F111">+Honorarios(D111,0.13)</f>
        <v>375700</v>
      </c>
      <c r="G111" s="127">
        <f>+_xlfn.XLOOKUP($A111,PRÉSTAMOS!$D:$D,PRÉSTAMOS!P:P)/100</f>
        <v>0.13</v>
      </c>
      <c r="H111" s="132">
        <v>45173</v>
      </c>
      <c r="I111" s="132">
        <f>+DATE(YEAR(Contratos[[#This Row],[FECHA DESEMBOLSO]]),MONTH(Contratos[[#This Row],[FECHA DESEMBOLSO]])+3,DAY(Contratos[[#This Row],[FECHA DESEMBOLSO]]))</f>
        <v>45264</v>
      </c>
      <c r="J111" t="str">
        <f>+_xlfn.XLOOKUP($A111,PRÉSTAMOS!$D:$D,PRÉSTAMOS!S:S)</f>
        <v>Préstamo Personal</v>
      </c>
      <c r="K111" s="126">
        <f>+IFERROR(_xlfn.XLOOKUP(Contratos[[#This Row],[No. CONTRATO]],CajaTotal[REFERENCIA],CajaTotal[DEBITO]),0)</f>
        <v>0</v>
      </c>
      <c r="L111" s="125" t="str" cm="1">
        <f t="array" ref="L111">+IFERROR(MAX(_xlfn._xlws.FILTER(CajaTotal[FECHA],CajaTotal[REFERENCIA]=Contratos[[#This Row],[No. CONTRATO]])),"")</f>
        <v/>
      </c>
      <c r="M111" t="str">
        <f>+IF(_xlfn.XLOOKUP($A111,PRÉSTAMOS!$D:$D,PRÉSTAMOS!V:V)=0,"",_xlfn.XLOOKUP($A111,PRÉSTAMOS!$D:$D,PRÉSTAMOS!V:V))</f>
        <v/>
      </c>
      <c r="N111" s="125" t="str">
        <f>+IF(_xlfn.XLOOKUP($A111,PRÉSTAMOS!$D:$D,PRÉSTAMOS!W:W)=0,"",_xlfn.XLOOKUP($A111,PRÉSTAMOS!$D:$D,PRÉSTAMOS!W:W))</f>
        <v/>
      </c>
      <c r="O111" t="str">
        <f>+IF(_xlfn.XLOOKUP($A111,PRÉSTAMOS!$D:$D,PRÉSTAMOS!X:X)=0,"",_xlfn.XLOOKUP($A111,PRÉSTAMOS!$D:$D,PRÉSTAMOS!X:X))</f>
        <v>SERGIO RAMÍREZ</v>
      </c>
      <c r="R111" t="str">
        <f ca="1">+IF(Contratos[[#This Row],[JURIDICO]]=1,"PROCESO JURIDICO",IF(I111&lt;TODAY(),"VENCIDO","ACTIVO"))</f>
        <v>ACTIVO</v>
      </c>
    </row>
    <row r="112" spans="1:18" x14ac:dyDescent="0.25">
      <c r="A112">
        <v>519</v>
      </c>
      <c r="B112">
        <v>25151551</v>
      </c>
      <c r="C112" s="126">
        <v>1000000</v>
      </c>
      <c r="D112" s="126" cm="1">
        <f t="array" ref="D112">+ValorProyectado_Aritmetico(C112,0.13,3)</f>
        <v>2890000</v>
      </c>
      <c r="E112" t="str" cm="1">
        <f t="array" ref="E112">+CONVERTIRNUM(D112)</f>
        <v>Dos Millones Ochocientos Noventa Mil Pesos</v>
      </c>
      <c r="F112" s="126" cm="1">
        <f t="array" ref="F112">+Honorarios(D112,0.13)</f>
        <v>375700</v>
      </c>
      <c r="G112" s="127">
        <v>0.13</v>
      </c>
      <c r="H112" s="132">
        <v>45174</v>
      </c>
      <c r="I112" s="132">
        <f>+DATE(YEAR(Contratos[[#This Row],[FECHA DESEMBOLSO]]),MONTH(Contratos[[#This Row],[FECHA DESEMBOLSO]])+3,DAY(Contratos[[#This Row],[FECHA DESEMBOLSO]]))</f>
        <v>45265</v>
      </c>
      <c r="J112" t="s">
        <v>1048</v>
      </c>
      <c r="K112" s="126">
        <f>+IFERROR(_xlfn.XLOOKUP(Contratos[[#This Row],[No. CONTRATO]],CajaTotal[REFERENCIA],CajaTotal[DEBITO]),0)</f>
        <v>0</v>
      </c>
      <c r="L112" s="125" t="str" cm="1">
        <f t="array" ref="L112">+IFERROR(MAX(_xlfn._xlws.FILTER(CajaTotal[FECHA],CajaTotal[REFERENCIA]=Contratos[[#This Row],[No. CONTRATO]])),"")</f>
        <v/>
      </c>
      <c r="M112" t="e">
        <f>+IF(_xlfn.XLOOKUP($A112,PRÉSTAMOS!$D:$D,PRÉSTAMOS!V:V)=0,"",_xlfn.XLOOKUP($A112,PRÉSTAMOS!$D:$D,PRÉSTAMOS!V:V))</f>
        <v>#N/A</v>
      </c>
      <c r="N112" s="125" t="e">
        <f>+IF(_xlfn.XLOOKUP($A112,PRÉSTAMOS!$D:$D,PRÉSTAMOS!W:W)=0,"",_xlfn.XLOOKUP($A112,PRÉSTAMOS!$D:$D,PRÉSTAMOS!W:W))</f>
        <v>#N/A</v>
      </c>
      <c r="O112" t="s">
        <v>386</v>
      </c>
      <c r="R112" t="str">
        <f ca="1">+IF(Contratos[[#This Row],[JURIDICO]]=1,"PROCESO JURIDICO",IF(I112&lt;TODAY(),"VENCIDO","ACTIVO"))</f>
        <v>ACTIVO</v>
      </c>
    </row>
    <row r="113" spans="1:18" x14ac:dyDescent="0.25">
      <c r="A113">
        <v>520</v>
      </c>
      <c r="B113">
        <v>42057042</v>
      </c>
      <c r="C113" s="126">
        <v>500000</v>
      </c>
      <c r="D113" s="126" cm="1">
        <f t="array" ref="D113">+ValorProyectado_Aritmetico(C113,0.13,3)</f>
        <v>2195000</v>
      </c>
      <c r="E113" t="str" cm="1">
        <f t="array" ref="E113">+CONVERTIRNUM(D113)</f>
        <v>Dos Millones Ciento Noventa y Cinco Mil Pesos</v>
      </c>
      <c r="F113" s="126" cm="1">
        <f t="array" ref="F113">+Honorarios(D113,0.13)</f>
        <v>285350</v>
      </c>
      <c r="G113" s="127">
        <v>0.13</v>
      </c>
      <c r="H113" s="132">
        <v>45174</v>
      </c>
      <c r="I113" s="132">
        <f>+DATE(YEAR(Contratos[[#This Row],[FECHA DESEMBOLSO]]),MONTH(Contratos[[#This Row],[FECHA DESEMBOLSO]])+3,DAY(Contratos[[#This Row],[FECHA DESEMBOLSO]]))</f>
        <v>45265</v>
      </c>
      <c r="J113" t="s">
        <v>1048</v>
      </c>
      <c r="K113" s="126">
        <f>+IFERROR(_xlfn.XLOOKUP(Contratos[[#This Row],[No. CONTRATO]],CajaTotal[REFERENCIA],CajaTotal[DEBITO]),0)</f>
        <v>0</v>
      </c>
      <c r="L113" s="125" t="str" cm="1">
        <f t="array" ref="L113">+IFERROR(MAX(_xlfn._xlws.FILTER(CajaTotal[FECHA],CajaTotal[REFERENCIA]=Contratos[[#This Row],[No. CONTRATO]])),"")</f>
        <v/>
      </c>
      <c r="M113" t="e">
        <f>+IF(_xlfn.XLOOKUP($A113,PRÉSTAMOS!$D:$D,PRÉSTAMOS!V:V)=0,"",_xlfn.XLOOKUP($A113,PRÉSTAMOS!$D:$D,PRÉSTAMOS!V:V))</f>
        <v>#N/A</v>
      </c>
      <c r="N113" s="125" t="e">
        <f>+IF(_xlfn.XLOOKUP($A113,PRÉSTAMOS!$D:$D,PRÉSTAMOS!W:W)=0,"",_xlfn.XLOOKUP($A113,PRÉSTAMOS!$D:$D,PRÉSTAMOS!W:W))</f>
        <v>#N/A</v>
      </c>
      <c r="O113" t="s">
        <v>386</v>
      </c>
      <c r="R113" t="str">
        <f ca="1">+IF(Contratos[[#This Row],[JURIDICO]]=1,"PROCESO JURIDICO",IF(I113&lt;TODAY(),"VENCIDO","ACTIVO"))</f>
        <v>ACTIVO</v>
      </c>
    </row>
    <row r="114" spans="1:18" x14ac:dyDescent="0.25">
      <c r="A114">
        <v>521</v>
      </c>
      <c r="B114">
        <v>10069872</v>
      </c>
      <c r="C114" s="126">
        <v>550000</v>
      </c>
      <c r="D114" s="126" cm="1">
        <f t="array" ref="D114">+ValorProyectado_Aritmetico(C114,0.13,3)</f>
        <v>2264500</v>
      </c>
      <c r="E114" t="str" cm="1">
        <f t="array" ref="E114">+CONVERTIRNUM(D114)</f>
        <v>Dos Millones Doscientos Sesenta y Cuatro Mil Quinientos Pesos</v>
      </c>
      <c r="F114" s="126" cm="1">
        <f t="array" ref="F114">+Honorarios(D114,0.13)</f>
        <v>294385</v>
      </c>
      <c r="G114" s="127">
        <v>0.13</v>
      </c>
      <c r="H114" s="132">
        <v>45174</v>
      </c>
      <c r="I114" s="132">
        <f>+DATE(YEAR(Contratos[[#This Row],[FECHA DESEMBOLSO]]),MONTH(Contratos[[#This Row],[FECHA DESEMBOLSO]])+3,DAY(Contratos[[#This Row],[FECHA DESEMBOLSO]]))</f>
        <v>45265</v>
      </c>
      <c r="J114" t="s">
        <v>1048</v>
      </c>
      <c r="K114" s="126">
        <f>+IFERROR(_xlfn.XLOOKUP(Contratos[[#This Row],[No. CONTRATO]],CajaTotal[REFERENCIA],CajaTotal[DEBITO]),0)</f>
        <v>0</v>
      </c>
      <c r="L114" s="125" cm="1">
        <f t="array" ref="L114">+IFERROR(MAX(_xlfn._xlws.FILTER(CajaTotal[FECHA],CajaTotal[REFERENCIA]=Contratos[[#This Row],[No. CONTRATO]])),"")</f>
        <v>45174</v>
      </c>
      <c r="M114" t="e">
        <f>+IF(_xlfn.XLOOKUP($A114,PRÉSTAMOS!$D:$D,PRÉSTAMOS!V:V)=0,"",_xlfn.XLOOKUP($A114,PRÉSTAMOS!$D:$D,PRÉSTAMOS!V:V))</f>
        <v>#N/A</v>
      </c>
      <c r="N114" s="125" t="e">
        <f>+IF(_xlfn.XLOOKUP($A114,PRÉSTAMOS!$D:$D,PRÉSTAMOS!W:W)=0,"",_xlfn.XLOOKUP($A114,PRÉSTAMOS!$D:$D,PRÉSTAMOS!W:W))</f>
        <v>#N/A</v>
      </c>
      <c r="O114" t="s">
        <v>936</v>
      </c>
      <c r="R114" t="str">
        <f ca="1">+IF(Contratos[[#This Row],[JURIDICO]]=1,"PROCESO JURIDICO",IF(I114&lt;TODAY(),"VENCIDO","ACTIVO"))</f>
        <v>ACTIVO</v>
      </c>
    </row>
    <row r="115" spans="1:18" x14ac:dyDescent="0.25">
      <c r="A115">
        <v>522</v>
      </c>
      <c r="B115">
        <v>18501691</v>
      </c>
      <c r="C115" s="126">
        <v>540000</v>
      </c>
      <c r="D115" s="126" cm="1">
        <f t="array" ref="D115">+ValorProyectado_Aritmetico(C115,0.13,3)</f>
        <v>2250600</v>
      </c>
      <c r="E115" t="str" cm="1">
        <f t="array" ref="E115">+CONVERTIRNUM(D115)</f>
        <v>Dos Millones Doscientos Cincuenta Mil Seiscientos Pesos</v>
      </c>
      <c r="F115" s="126" cm="1">
        <f t="array" ref="F115">+Honorarios(D115,0.13)</f>
        <v>292578</v>
      </c>
      <c r="G115" s="127">
        <v>0.13</v>
      </c>
      <c r="H115" s="132">
        <v>45175</v>
      </c>
      <c r="I115" s="132">
        <f>+DATE(YEAR(Contratos[[#This Row],[FECHA DESEMBOLSO]]),MONTH(Contratos[[#This Row],[FECHA DESEMBOLSO]])+3,DAY(Contratos[[#This Row],[FECHA DESEMBOLSO]]))</f>
        <v>45266</v>
      </c>
      <c r="J115" t="s">
        <v>1099</v>
      </c>
      <c r="K115" s="126">
        <f>+IFERROR(_xlfn.XLOOKUP(Contratos[[#This Row],[No. CONTRATO]],CajaTotal[REFERENCIA],CajaTotal[DEBITO]),0)</f>
        <v>0</v>
      </c>
      <c r="L115" s="125" t="str" cm="1">
        <f t="array" ref="L115">+IFERROR(MAX(_xlfn._xlws.FILTER(CajaTotal[FECHA],CajaTotal[REFERENCIA]=Contratos[[#This Row],[No. CONTRATO]])),"")</f>
        <v/>
      </c>
      <c r="M115" t="e">
        <f>+IF(_xlfn.XLOOKUP($A115,PRÉSTAMOS!$D:$D,PRÉSTAMOS!V:V)=0,"",_xlfn.XLOOKUP($A115,PRÉSTAMOS!$D:$D,PRÉSTAMOS!V:V))</f>
        <v>#N/A</v>
      </c>
      <c r="N115" s="125" t="e">
        <f>+IF(_xlfn.XLOOKUP($A115,PRÉSTAMOS!$D:$D,PRÉSTAMOS!W:W)=0,"",_xlfn.XLOOKUP($A115,PRÉSTAMOS!$D:$D,PRÉSTAMOS!W:W))</f>
        <v>#N/A</v>
      </c>
      <c r="O115" t="s">
        <v>615</v>
      </c>
      <c r="R115" t="str">
        <f ca="1">+IF(Contratos[[#This Row],[JURIDICO]]=1,"PROCESO JURIDICO",IF(I115&lt;TODAY(),"VENCIDO","ACTIVO"))</f>
        <v>ACTIVO</v>
      </c>
    </row>
    <row r="116" spans="1:18" x14ac:dyDescent="0.25">
      <c r="A116" t="s">
        <v>1104</v>
      </c>
      <c r="B116">
        <v>75072010</v>
      </c>
      <c r="C116" s="126">
        <v>10000000</v>
      </c>
      <c r="D116" s="126" cm="1">
        <f t="array" ref="D116">+ValorProyectado_Aritmetico(C116,0.13,3)</f>
        <v>15400000</v>
      </c>
      <c r="E116" t="str" cm="1">
        <f t="array" ref="E116">+CONVERTIRNUM(D116)</f>
        <v>Quince Millones Cuatrocientos Mil Pesos</v>
      </c>
      <c r="F116" s="126" cm="1">
        <f t="array" ref="F116">+Honorarios(D116,0.13)</f>
        <v>2002000</v>
      </c>
      <c r="G116" s="127">
        <v>0.13</v>
      </c>
      <c r="H116" s="132">
        <v>45012</v>
      </c>
      <c r="I116" s="132">
        <f>+DATE(YEAR(Contratos[[#This Row],[FECHA DESEMBOLSO]]),MONTH(Contratos[[#This Row],[FECHA DESEMBOLSO]])+3,DAY(Contratos[[#This Row],[FECHA DESEMBOLSO]]))</f>
        <v>45104</v>
      </c>
      <c r="J116" t="s">
        <v>640</v>
      </c>
      <c r="K116" s="126">
        <f>+IFERROR(_xlfn.XLOOKUP(Contratos[[#This Row],[No. CONTRATO]],CajaTotal[REFERENCIA],CajaTotal[DEBITO]),0)</f>
        <v>0</v>
      </c>
      <c r="L116" s="125" t="str" cm="1">
        <f t="array" ref="L116">+IFERROR(MAX(_xlfn._xlws.FILTER(CajaTotal[FECHA],CajaTotal[REFERENCIA]=Contratos[[#This Row],[No. CONTRATO]])),"")</f>
        <v/>
      </c>
      <c r="M116" t="e">
        <f>+IF(_xlfn.XLOOKUP($A116,PRÉSTAMOS!$D:$D,PRÉSTAMOS!V:V)=0,"",_xlfn.XLOOKUP($A116,PRÉSTAMOS!$D:$D,PRÉSTAMOS!V:V))</f>
        <v>#N/A</v>
      </c>
      <c r="N116" s="125" t="e">
        <f>+IF(_xlfn.XLOOKUP($A116,PRÉSTAMOS!$D:$D,PRÉSTAMOS!W:W)=0,"",_xlfn.XLOOKUP($A116,PRÉSTAMOS!$D:$D,PRÉSTAMOS!W:W))</f>
        <v>#N/A</v>
      </c>
      <c r="O116" t="s">
        <v>553</v>
      </c>
      <c r="R116" t="str">
        <f ca="1">+IF(Contratos[[#This Row],[JURIDICO]]=1,"PROCESO JURIDICO",IF(I116&lt;TODAY(),"VENCIDO","ACTIVO"))</f>
        <v>VENCIDO</v>
      </c>
    </row>
    <row r="117" spans="1:18" x14ac:dyDescent="0.25">
      <c r="A117">
        <v>523</v>
      </c>
      <c r="B117">
        <v>29770801</v>
      </c>
      <c r="C117" s="126">
        <v>1250000</v>
      </c>
      <c r="D117" s="126" cm="1">
        <f t="array" ref="D117">+ValorProyectado_Aritmetico(C117,0.13,3)</f>
        <v>3237500</v>
      </c>
      <c r="E117" t="str" cm="1">
        <f t="array" ref="E117">+CONVERTIRNUM(D117)</f>
        <v>Tres Millones Doscientos Treinta y Siete Mil Quinientos Pesos</v>
      </c>
      <c r="F117" s="126" cm="1">
        <f t="array" ref="F117">+Honorarios(D117,0.13)</f>
        <v>420875</v>
      </c>
      <c r="G117" s="127">
        <v>0.13</v>
      </c>
      <c r="H117" s="132">
        <v>45176</v>
      </c>
      <c r="I117" s="132">
        <f>+DATE(YEAR(Contratos[[#This Row],[FECHA DESEMBOLSO]]),MONTH(Contratos[[#This Row],[FECHA DESEMBOLSO]])+3,DAY(Contratos[[#This Row],[FECHA DESEMBOLSO]]))</f>
        <v>45267</v>
      </c>
      <c r="J117" t="s">
        <v>1048</v>
      </c>
      <c r="K117" s="126">
        <f>+IFERROR(_xlfn.XLOOKUP(Contratos[[#This Row],[No. CONTRATO]],CajaTotal[REFERENCIA],CajaTotal[DEBITO]),0)</f>
        <v>0</v>
      </c>
      <c r="L117" s="125" t="str" cm="1">
        <f t="array" ref="L117">+IFERROR(MAX(_xlfn._xlws.FILTER(CajaTotal[FECHA],CajaTotal[REFERENCIA]=Contratos[[#This Row],[No. CONTRATO]])),"")</f>
        <v/>
      </c>
      <c r="M117" t="e">
        <f>+IF(_xlfn.XLOOKUP($A117,PRÉSTAMOS!$D:$D,PRÉSTAMOS!V:V)=0,"",_xlfn.XLOOKUP($A117,PRÉSTAMOS!$D:$D,PRÉSTAMOS!V:V))</f>
        <v>#N/A</v>
      </c>
      <c r="N117" s="125" t="e">
        <f>+IF(_xlfn.XLOOKUP($A117,PRÉSTAMOS!$D:$D,PRÉSTAMOS!W:W)=0,"",_xlfn.XLOOKUP($A117,PRÉSTAMOS!$D:$D,PRÉSTAMOS!W:W))</f>
        <v>#N/A</v>
      </c>
      <c r="O117" t="s">
        <v>554</v>
      </c>
      <c r="R117" t="str">
        <f ca="1">+IF(Contratos[[#This Row],[JURIDICO]]=1,"PROCESO JURIDICO",IF(I117&lt;TODAY(),"VENCIDO","ACTIVO"))</f>
        <v>ACTIVO</v>
      </c>
    </row>
    <row r="118" spans="1:18" x14ac:dyDescent="0.25">
      <c r="A118" t="s">
        <v>1110</v>
      </c>
      <c r="B118">
        <v>4376580</v>
      </c>
      <c r="C118" s="126">
        <v>40000000</v>
      </c>
      <c r="D118" s="126" cm="1">
        <f t="array" ref="D118">+ValorProyectado_Aritmetico(C118,0.13,3)</f>
        <v>57100000</v>
      </c>
      <c r="E118" t="str" cm="1">
        <f t="array" ref="E118">+CONVERTIRNUM(D118)</f>
        <v>Cincuenta y Siete Millones Cien Mil Pesos</v>
      </c>
      <c r="F118" s="126" cm="1">
        <f t="array" ref="F118">+Honorarios(D118,0.13)</f>
        <v>7423000</v>
      </c>
      <c r="G118" s="127">
        <v>0.13</v>
      </c>
      <c r="H118" s="132">
        <v>45011</v>
      </c>
      <c r="I118" s="132">
        <f>+DATE(YEAR(Contratos[[#This Row],[FECHA DESEMBOLSO]]),MONTH(Contratos[[#This Row],[FECHA DESEMBOLSO]])+3,DAY(Contratos[[#This Row],[FECHA DESEMBOLSO]]))</f>
        <v>45103</v>
      </c>
      <c r="J118" t="s">
        <v>1048</v>
      </c>
      <c r="K118" s="126">
        <f>+IFERROR(_xlfn.XLOOKUP(Contratos[[#This Row],[No. CONTRATO]],CajaTotal[REFERENCIA],CajaTotal[DEBITO]),0)</f>
        <v>0</v>
      </c>
      <c r="L118" s="125" t="str" cm="1">
        <f t="array" ref="L118">+IFERROR(MAX(_xlfn._xlws.FILTER(CajaTotal[FECHA],CajaTotal[REFERENCIA]=Contratos[[#This Row],[No. CONTRATO]])),"")</f>
        <v/>
      </c>
      <c r="M118" t="e">
        <f>+IF(_xlfn.XLOOKUP($A118,PRÉSTAMOS!$D:$D,PRÉSTAMOS!V:V)=0,"",_xlfn.XLOOKUP($A118,PRÉSTAMOS!$D:$D,PRÉSTAMOS!V:V))</f>
        <v>#N/A</v>
      </c>
      <c r="N118" s="125" t="e">
        <f>+IF(_xlfn.XLOOKUP($A118,PRÉSTAMOS!$D:$D,PRÉSTAMOS!W:W)=0,"",_xlfn.XLOOKUP($A118,PRÉSTAMOS!$D:$D,PRÉSTAMOS!W:W))</f>
        <v>#N/A</v>
      </c>
      <c r="O118" t="e">
        <f>+IF(_xlfn.XLOOKUP($A118,PRÉSTAMOS!$D:$D,PRÉSTAMOS!X:X)=0,"",_xlfn.XLOOKUP($A118,PRÉSTAMOS!$D:$D,PRÉSTAMOS!X:X))</f>
        <v>#N/A</v>
      </c>
      <c r="R118" t="str">
        <f ca="1">+IF(Contratos[[#This Row],[JURIDICO]]=1,"PROCESO JURIDICO",IF(I118&lt;TODAY(),"VENCIDO","ACTIVO"))</f>
        <v>VENCIDO</v>
      </c>
    </row>
    <row r="119" spans="1:18" x14ac:dyDescent="0.25">
      <c r="A119">
        <v>524</v>
      </c>
      <c r="B119">
        <v>1089721086</v>
      </c>
      <c r="C119" s="126">
        <v>900000</v>
      </c>
      <c r="D119" s="126" cm="1">
        <f t="array" ref="D119">+ValorProyectado_Aritmetico(C119,0.13,3)</f>
        <v>2751000</v>
      </c>
      <c r="E119" t="str" cm="1">
        <f t="array" ref="E119">+CONVERTIRNUM(D119)</f>
        <v>Dos Millones Setecientos Cincuenta y Un Mil Pesos</v>
      </c>
      <c r="F119" s="126" cm="1">
        <f t="array" ref="F119">+Honorarios(D119,0.13)</f>
        <v>357630</v>
      </c>
      <c r="G119" s="127">
        <v>0.13</v>
      </c>
      <c r="H119" s="132">
        <v>45181</v>
      </c>
      <c r="I119" s="132">
        <f>+DATE(YEAR(Contratos[[#This Row],[FECHA DESEMBOLSO]]),MONTH(Contratos[[#This Row],[FECHA DESEMBOLSO]])+3,DAY(Contratos[[#This Row],[FECHA DESEMBOLSO]]))</f>
        <v>45272</v>
      </c>
      <c r="J119" t="s">
        <v>1048</v>
      </c>
      <c r="K119" s="126">
        <f>+IFERROR(_xlfn.XLOOKUP(Contratos[[#This Row],[No. CONTRATO]],CajaTotal[REFERENCIA],CajaTotal[DEBITO]),0)</f>
        <v>0</v>
      </c>
      <c r="L119" s="125" cm="1">
        <f t="array" ref="L119">+IFERROR(MAX(_xlfn._xlws.FILTER(CajaTotal[FECHA],CajaTotal[REFERENCIA]=Contratos[[#This Row],[No. CONTRATO]])),"")</f>
        <v>45181</v>
      </c>
      <c r="M119" t="e">
        <f>+IF(_xlfn.XLOOKUP($A119,PRÉSTAMOS!$D:$D,PRÉSTAMOS!V:V)=0,"",_xlfn.XLOOKUP($A119,PRÉSTAMOS!$D:$D,PRÉSTAMOS!V:V))</f>
        <v>#N/A</v>
      </c>
      <c r="N119" s="125" t="e">
        <f>+IF(_xlfn.XLOOKUP($A119,PRÉSTAMOS!$D:$D,PRÉSTAMOS!W:W)=0,"",_xlfn.XLOOKUP($A119,PRÉSTAMOS!$D:$D,PRÉSTAMOS!W:W))</f>
        <v>#N/A</v>
      </c>
      <c r="O119" t="e">
        <f>+IF(_xlfn.XLOOKUP($A119,PRÉSTAMOS!$D:$D,PRÉSTAMOS!X:X)=0,"",_xlfn.XLOOKUP($A119,PRÉSTAMOS!$D:$D,PRÉSTAMOS!X:X))</f>
        <v>#N/A</v>
      </c>
      <c r="R119" t="str">
        <f ca="1">+IF(Contratos[[#This Row],[JURIDICO]]=1,"PROCESO JURIDICO",IF(I119&lt;TODAY(),"VENCIDO","ACTIVO"))</f>
        <v>ACTIVO</v>
      </c>
    </row>
    <row r="120" spans="1:18" x14ac:dyDescent="0.25">
      <c r="A120">
        <v>525</v>
      </c>
      <c r="B120">
        <v>24954088</v>
      </c>
      <c r="C120" s="126">
        <v>100000</v>
      </c>
      <c r="D120" s="126" cm="1">
        <f t="array" ref="D120">+ValorProyectado_Aritmetico(C120,0.13,3)</f>
        <v>1639000</v>
      </c>
      <c r="E120" t="str" cm="1">
        <f t="array" ref="E120">+CONVERTIRNUM(D120)</f>
        <v>Un Millón Seiscientos Treinta y Nueve Mil Pesos</v>
      </c>
      <c r="F120" s="126" cm="1">
        <f t="array" ref="F120">+Honorarios(D120,0.13)</f>
        <v>213070</v>
      </c>
      <c r="G120" s="127">
        <v>0.13</v>
      </c>
      <c r="H120" s="132">
        <v>45182</v>
      </c>
      <c r="I120" s="132">
        <f>+DATE(YEAR(Contratos[[#This Row],[FECHA DESEMBOLSO]]),MONTH(Contratos[[#This Row],[FECHA DESEMBOLSO]])+3,DAY(Contratos[[#This Row],[FECHA DESEMBOLSO]]))</f>
        <v>45273</v>
      </c>
      <c r="J120" t="s">
        <v>1048</v>
      </c>
      <c r="K120" s="126">
        <f>+IFERROR(_xlfn.XLOOKUP(Contratos[[#This Row],[No. CONTRATO]],CajaTotal[REFERENCIA],CajaTotal[DEBITO]),0)</f>
        <v>0</v>
      </c>
      <c r="L120" s="125" t="str" cm="1">
        <f t="array" ref="L120">+IFERROR(MAX(_xlfn._xlws.FILTER(CajaTotal[FECHA],CajaTotal[REFERENCIA]=Contratos[[#This Row],[No. CONTRATO]])),"")</f>
        <v/>
      </c>
      <c r="M120" t="e">
        <f>+IF(_xlfn.XLOOKUP($A120,PRÉSTAMOS!$D:$D,PRÉSTAMOS!V:V)=0,"",_xlfn.XLOOKUP($A120,PRÉSTAMOS!$D:$D,PRÉSTAMOS!V:V))</f>
        <v>#N/A</v>
      </c>
      <c r="N120" s="125" t="e">
        <f>+IF(_xlfn.XLOOKUP($A120,PRÉSTAMOS!$D:$D,PRÉSTAMOS!W:W)=0,"",_xlfn.XLOOKUP($A120,PRÉSTAMOS!$D:$D,PRÉSTAMOS!W:W))</f>
        <v>#N/A</v>
      </c>
      <c r="O120" t="e">
        <f>+IF(_xlfn.XLOOKUP($A120,PRÉSTAMOS!$D:$D,PRÉSTAMOS!X:X)=0,"",_xlfn.XLOOKUP($A120,PRÉSTAMOS!$D:$D,PRÉSTAMOS!X:X))</f>
        <v>#N/A</v>
      </c>
      <c r="R120" t="str">
        <f ca="1">+IF(Contratos[[#This Row],[JURIDICO]]=1,"PROCESO JURIDICO",IF(I120&lt;TODAY(),"VENCIDO","ACTIVO"))</f>
        <v>ACTIVO</v>
      </c>
    </row>
    <row r="121" spans="1:18" x14ac:dyDescent="0.25">
      <c r="A121">
        <v>526</v>
      </c>
      <c r="B121">
        <v>10192256</v>
      </c>
      <c r="C121" s="126">
        <v>2500000</v>
      </c>
      <c r="D121" s="126" cm="1">
        <f t="array" ref="D121">+ValorProyectado_Aritmetico(C121,0.13,3)</f>
        <v>4975000</v>
      </c>
      <c r="E121" t="str" cm="1">
        <f t="array" ref="E121">+CONVERTIRNUM(D121)</f>
        <v>Cuatro Millones Novecientos Setenta y Cinco Mil Pesos</v>
      </c>
      <c r="F121" s="126" cm="1">
        <f t="array" ref="F121">+Honorarios(D121,0.13)</f>
        <v>646750</v>
      </c>
      <c r="G121" s="127">
        <v>0.13</v>
      </c>
      <c r="H121" s="132">
        <v>45183</v>
      </c>
      <c r="I121" s="132">
        <f>+DATE(YEAR(Contratos[[#This Row],[FECHA DESEMBOLSO]]),MONTH(Contratos[[#This Row],[FECHA DESEMBOLSO]])+3,DAY(Contratos[[#This Row],[FECHA DESEMBOLSO]]))</f>
        <v>45274</v>
      </c>
      <c r="J121" t="s">
        <v>640</v>
      </c>
      <c r="K121" s="126">
        <f>+IFERROR(_xlfn.XLOOKUP(Contratos[[#This Row],[No. CONTRATO]],CajaTotal[REFERENCIA],CajaTotal[DEBITO]),0)</f>
        <v>0</v>
      </c>
      <c r="L121" s="125" t="str" cm="1">
        <f t="array" ref="L121">+IFERROR(MAX(_xlfn._xlws.FILTER(CajaTotal[FECHA],CajaTotal[REFERENCIA]=Contratos[[#This Row],[No. CONTRATO]])),"")</f>
        <v/>
      </c>
      <c r="M121" t="e">
        <f>+IF(_xlfn.XLOOKUP($A121,PRÉSTAMOS!$D:$D,PRÉSTAMOS!V:V)=0,"",_xlfn.XLOOKUP($A121,PRÉSTAMOS!$D:$D,PRÉSTAMOS!V:V))</f>
        <v>#N/A</v>
      </c>
      <c r="N121" s="125" t="e">
        <f>+IF(_xlfn.XLOOKUP($A121,PRÉSTAMOS!$D:$D,PRÉSTAMOS!W:W)=0,"",_xlfn.XLOOKUP($A121,PRÉSTAMOS!$D:$D,PRÉSTAMOS!W:W))</f>
        <v>#N/A</v>
      </c>
      <c r="O121" t="e">
        <f>+IF(_xlfn.XLOOKUP($A121,PRÉSTAMOS!$D:$D,PRÉSTAMOS!X:X)=0,"",_xlfn.XLOOKUP($A121,PRÉSTAMOS!$D:$D,PRÉSTAMOS!X:X))</f>
        <v>#N/A</v>
      </c>
      <c r="R121" t="str">
        <f ca="1">+IF(Contratos[[#This Row],[JURIDICO]]=1,"PROCESO JURIDICO",IF(I121&lt;TODAY(),"VENCIDO","ACTIVO"))</f>
        <v>ACTIVO</v>
      </c>
    </row>
    <row r="122" spans="1:18" x14ac:dyDescent="0.25">
      <c r="A122">
        <v>527</v>
      </c>
      <c r="B122">
        <v>10109440</v>
      </c>
      <c r="C122" s="126">
        <v>1000000</v>
      </c>
      <c r="D122" s="126" cm="1">
        <f t="array" ref="D122">+ValorProyectado_Aritmetico(C122,0.13,3)</f>
        <v>2890000</v>
      </c>
      <c r="E122" t="str" cm="1">
        <f t="array" ref="E122">+CONVERTIRNUM(D122)</f>
        <v>Dos Millones Ochocientos Noventa Mil Pesos</v>
      </c>
      <c r="F122" s="126" cm="1">
        <f t="array" ref="F122">+Honorarios(D122,0.13)</f>
        <v>375700</v>
      </c>
      <c r="G122" s="127">
        <v>0.13</v>
      </c>
      <c r="H122" s="132">
        <v>45184</v>
      </c>
      <c r="I122" s="132">
        <f>+DATE(YEAR(Contratos[[#This Row],[FECHA DESEMBOLSO]]),MONTH(Contratos[[#This Row],[FECHA DESEMBOLSO]])+3,DAY(Contratos[[#This Row],[FECHA DESEMBOLSO]]))</f>
        <v>45275</v>
      </c>
      <c r="J122" t="s">
        <v>1048</v>
      </c>
      <c r="K122" s="126">
        <f>+IFERROR(_xlfn.XLOOKUP(Contratos[[#This Row],[No. CONTRATO]],CajaTotal[REFERENCIA],CajaTotal[DEBITO]),0)</f>
        <v>0</v>
      </c>
      <c r="L122" s="125" t="str" cm="1">
        <f t="array" ref="L122">+IFERROR(MAX(_xlfn._xlws.FILTER(CajaTotal[FECHA],CajaTotal[REFERENCIA]=Contratos[[#This Row],[No. CONTRATO]])),"")</f>
        <v/>
      </c>
      <c r="M122" t="e">
        <f>+IF(_xlfn.XLOOKUP($A122,PRÉSTAMOS!$D:$D,PRÉSTAMOS!V:V)=0,"",_xlfn.XLOOKUP($A122,PRÉSTAMOS!$D:$D,PRÉSTAMOS!V:V))</f>
        <v>#N/A</v>
      </c>
      <c r="N122" s="125" t="e">
        <f>+IF(_xlfn.XLOOKUP($A122,PRÉSTAMOS!$D:$D,PRÉSTAMOS!W:W)=0,"",_xlfn.XLOOKUP($A122,PRÉSTAMOS!$D:$D,PRÉSTAMOS!W:W))</f>
        <v>#N/A</v>
      </c>
      <c r="O122" t="e">
        <f>+IF(_xlfn.XLOOKUP($A122,PRÉSTAMOS!$D:$D,PRÉSTAMOS!X:X)=0,"",_xlfn.XLOOKUP($A122,PRÉSTAMOS!$D:$D,PRÉSTAMOS!X:X))</f>
        <v>#N/A</v>
      </c>
      <c r="R122" t="str">
        <f ca="1">+IF(Contratos[[#This Row],[JURIDICO]]=1,"PROCESO JURIDICO",IF(I122&lt;TODAY(),"VENCIDO","ACTIVO"))</f>
        <v>ACTIVO</v>
      </c>
    </row>
    <row r="123" spans="1:18" x14ac:dyDescent="0.25">
      <c r="N123" s="125"/>
    </row>
    <row r="124" spans="1:18" x14ac:dyDescent="0.25">
      <c r="N124" s="125"/>
    </row>
    <row r="125" spans="1:18" x14ac:dyDescent="0.25">
      <c r="N125" s="125"/>
    </row>
    <row r="126" spans="1:18" x14ac:dyDescent="0.25">
      <c r="N126" s="125"/>
    </row>
    <row r="127" spans="1:18" x14ac:dyDescent="0.25">
      <c r="N127" s="125"/>
    </row>
    <row r="128" spans="1:18" x14ac:dyDescent="0.25">
      <c r="N128" s="125"/>
    </row>
    <row r="129" spans="14:21" x14ac:dyDescent="0.25">
      <c r="N129" s="125"/>
    </row>
    <row r="130" spans="14:21" x14ac:dyDescent="0.25">
      <c r="N130" s="125"/>
    </row>
    <row r="131" spans="14:21" x14ac:dyDescent="0.25">
      <c r="N131" s="125"/>
    </row>
    <row r="132" spans="14:21" x14ac:dyDescent="0.25">
      <c r="N132" s="125"/>
    </row>
    <row r="133" spans="14:21" x14ac:dyDescent="0.25">
      <c r="N133" s="125"/>
    </row>
    <row r="134" spans="14:21" x14ac:dyDescent="0.25">
      <c r="N134" s="125"/>
    </row>
    <row r="135" spans="14:21" x14ac:dyDescent="0.25">
      <c r="N135" s="125"/>
      <c r="U135" t="s">
        <v>1130</v>
      </c>
    </row>
    <row r="136" spans="14:21" x14ac:dyDescent="0.25">
      <c r="N136" s="125"/>
    </row>
    <row r="137" spans="14:21" x14ac:dyDescent="0.25">
      <c r="N137" s="125"/>
    </row>
    <row r="138" spans="14:21" x14ac:dyDescent="0.25">
      <c r="N138" s="125"/>
    </row>
    <row r="139" spans="14:21" x14ac:dyDescent="0.25">
      <c r="N139" s="125"/>
    </row>
    <row r="140" spans="14:21" x14ac:dyDescent="0.25">
      <c r="N140" s="125"/>
    </row>
    <row r="141" spans="14:21" x14ac:dyDescent="0.25">
      <c r="N141" s="125"/>
    </row>
    <row r="142" spans="14:21" x14ac:dyDescent="0.25">
      <c r="N142" s="125"/>
    </row>
    <row r="143" spans="14:21" x14ac:dyDescent="0.25">
      <c r="N143" s="125"/>
    </row>
    <row r="144" spans="14:21" x14ac:dyDescent="0.25">
      <c r="N144" s="125"/>
    </row>
    <row r="145" spans="14:14" x14ac:dyDescent="0.25">
      <c r="N145" s="125"/>
    </row>
    <row r="146" spans="14:14" x14ac:dyDescent="0.25">
      <c r="N146" s="125"/>
    </row>
    <row r="147" spans="14:14" x14ac:dyDescent="0.25">
      <c r="N147" s="125"/>
    </row>
    <row r="148" spans="14:14" x14ac:dyDescent="0.25">
      <c r="N148" s="125"/>
    </row>
    <row r="149" spans="14:14" x14ac:dyDescent="0.25">
      <c r="N149" s="125"/>
    </row>
    <row r="150" spans="14:14" x14ac:dyDescent="0.25">
      <c r="N150" s="125"/>
    </row>
    <row r="151" spans="14:14" x14ac:dyDescent="0.25">
      <c r="N151" s="125"/>
    </row>
    <row r="152" spans="14:14" x14ac:dyDescent="0.25">
      <c r="N152" s="125"/>
    </row>
    <row r="153" spans="14:14" x14ac:dyDescent="0.25">
      <c r="N153" s="125"/>
    </row>
    <row r="154" spans="14:14" x14ac:dyDescent="0.25">
      <c r="N154" s="125"/>
    </row>
    <row r="155" spans="14:14" x14ac:dyDescent="0.25">
      <c r="N155" s="125"/>
    </row>
    <row r="156" spans="14:14" x14ac:dyDescent="0.25">
      <c r="N156" s="125"/>
    </row>
    <row r="157" spans="14:14" x14ac:dyDescent="0.25">
      <c r="N157" s="125"/>
    </row>
    <row r="158" spans="14:14" x14ac:dyDescent="0.25">
      <c r="N158" s="125"/>
    </row>
    <row r="159" spans="14:14" x14ac:dyDescent="0.25">
      <c r="N159" s="125"/>
    </row>
    <row r="160" spans="14:14" x14ac:dyDescent="0.25">
      <c r="N160" s="125"/>
    </row>
    <row r="161" spans="14:14" x14ac:dyDescent="0.25">
      <c r="N161" s="125"/>
    </row>
    <row r="162" spans="14:14" x14ac:dyDescent="0.25">
      <c r="N162" s="125"/>
    </row>
    <row r="163" spans="14:14" x14ac:dyDescent="0.25">
      <c r="N163" s="125"/>
    </row>
    <row r="164" spans="14:14" x14ac:dyDescent="0.25">
      <c r="N164" s="125"/>
    </row>
    <row r="165" spans="14:14" x14ac:dyDescent="0.25">
      <c r="N165" s="125"/>
    </row>
    <row r="166" spans="14:14" x14ac:dyDescent="0.25">
      <c r="N166" s="125"/>
    </row>
    <row r="167" spans="14:14" x14ac:dyDescent="0.25">
      <c r="N167" s="125"/>
    </row>
    <row r="168" spans="14:14" x14ac:dyDescent="0.25">
      <c r="N168" s="125"/>
    </row>
    <row r="169" spans="14:14" x14ac:dyDescent="0.25">
      <c r="N169" s="125"/>
    </row>
    <row r="170" spans="14:14" x14ac:dyDescent="0.25">
      <c r="N170" s="125"/>
    </row>
    <row r="171" spans="14:14" x14ac:dyDescent="0.25">
      <c r="N171" s="125"/>
    </row>
    <row r="172" spans="14:14" x14ac:dyDescent="0.25">
      <c r="N172" s="125"/>
    </row>
    <row r="173" spans="14:14" x14ac:dyDescent="0.25">
      <c r="N173" s="125"/>
    </row>
    <row r="174" spans="14:14" x14ac:dyDescent="0.25">
      <c r="N174" s="125"/>
    </row>
    <row r="175" spans="14:14" x14ac:dyDescent="0.25">
      <c r="N175" s="125"/>
    </row>
    <row r="176" spans="14:14" x14ac:dyDescent="0.25">
      <c r="N176" s="125"/>
    </row>
    <row r="177" spans="14:14" x14ac:dyDescent="0.25">
      <c r="N177" s="125"/>
    </row>
    <row r="178" spans="14:14" x14ac:dyDescent="0.25">
      <c r="N178" s="125"/>
    </row>
    <row r="179" spans="14:14" x14ac:dyDescent="0.25">
      <c r="N179" s="125"/>
    </row>
    <row r="180" spans="14:14" x14ac:dyDescent="0.25">
      <c r="N180" s="125"/>
    </row>
    <row r="181" spans="14:14" x14ac:dyDescent="0.25">
      <c r="N181" s="125"/>
    </row>
    <row r="182" spans="14:14" x14ac:dyDescent="0.25">
      <c r="N182" s="125"/>
    </row>
    <row r="183" spans="14:14" x14ac:dyDescent="0.25">
      <c r="N183" s="125"/>
    </row>
    <row r="184" spans="14:14" x14ac:dyDescent="0.25">
      <c r="N184" s="125"/>
    </row>
    <row r="185" spans="14:14" x14ac:dyDescent="0.25">
      <c r="N185" s="125"/>
    </row>
    <row r="186" spans="14:14" x14ac:dyDescent="0.25">
      <c r="N186" s="125"/>
    </row>
    <row r="187" spans="14:14" x14ac:dyDescent="0.25">
      <c r="N187" s="125"/>
    </row>
    <row r="188" spans="14:14" x14ac:dyDescent="0.25">
      <c r="N188" s="125"/>
    </row>
    <row r="189" spans="14:14" x14ac:dyDescent="0.25">
      <c r="N189" s="125"/>
    </row>
    <row r="190" spans="14:14" x14ac:dyDescent="0.25">
      <c r="N190" s="125"/>
    </row>
    <row r="191" spans="14:14" x14ac:dyDescent="0.25">
      <c r="N191" s="125"/>
    </row>
    <row r="192" spans="14:14" x14ac:dyDescent="0.25">
      <c r="N192" s="125"/>
    </row>
    <row r="193" spans="14:14" x14ac:dyDescent="0.25">
      <c r="N193" s="125"/>
    </row>
    <row r="194" spans="14:14" x14ac:dyDescent="0.25">
      <c r="N194" s="125"/>
    </row>
    <row r="195" spans="14:14" x14ac:dyDescent="0.25">
      <c r="N195" s="125"/>
    </row>
    <row r="196" spans="14:14" x14ac:dyDescent="0.25">
      <c r="N196" s="125"/>
    </row>
    <row r="197" spans="14:14" x14ac:dyDescent="0.25">
      <c r="N197" s="125"/>
    </row>
    <row r="198" spans="14:14" x14ac:dyDescent="0.25">
      <c r="N198" s="125"/>
    </row>
    <row r="199" spans="14:14" x14ac:dyDescent="0.25">
      <c r="N199" s="125"/>
    </row>
    <row r="200" spans="14:14" x14ac:dyDescent="0.25">
      <c r="N200" s="125"/>
    </row>
    <row r="201" spans="14:14" x14ac:dyDescent="0.25">
      <c r="N201" s="125"/>
    </row>
    <row r="202" spans="14:14" x14ac:dyDescent="0.25">
      <c r="N202" s="125"/>
    </row>
    <row r="203" spans="14:14" x14ac:dyDescent="0.25">
      <c r="N203" s="125"/>
    </row>
    <row r="204" spans="14:14" x14ac:dyDescent="0.25">
      <c r="N204" s="125"/>
    </row>
    <row r="205" spans="14:14" x14ac:dyDescent="0.25">
      <c r="N205" s="125"/>
    </row>
    <row r="206" spans="14:14" x14ac:dyDescent="0.25">
      <c r="N206" s="125"/>
    </row>
    <row r="207" spans="14:14" x14ac:dyDescent="0.25">
      <c r="N207" s="125"/>
    </row>
    <row r="208" spans="14:14" x14ac:dyDescent="0.25">
      <c r="N208" s="125"/>
    </row>
    <row r="209" spans="14:14" x14ac:dyDescent="0.25">
      <c r="N209" s="125"/>
    </row>
    <row r="210" spans="14:14" x14ac:dyDescent="0.25">
      <c r="N210" s="125"/>
    </row>
    <row r="211" spans="14:14" x14ac:dyDescent="0.25">
      <c r="N211" s="125"/>
    </row>
    <row r="212" spans="14:14" x14ac:dyDescent="0.25">
      <c r="N212" s="125"/>
    </row>
    <row r="213" spans="14:14" x14ac:dyDescent="0.25">
      <c r="N213" s="125"/>
    </row>
    <row r="214" spans="14:14" x14ac:dyDescent="0.25">
      <c r="N214" s="125"/>
    </row>
    <row r="215" spans="14:14" x14ac:dyDescent="0.25">
      <c r="N215" s="125"/>
    </row>
    <row r="216" spans="14:14" x14ac:dyDescent="0.25">
      <c r="N216" s="125"/>
    </row>
    <row r="217" spans="14:14" x14ac:dyDescent="0.25">
      <c r="N217" s="125"/>
    </row>
  </sheetData>
  <dataValidations count="1">
    <dataValidation type="list" allowBlank="1" showInputMessage="1" showErrorMessage="1" sqref="R2:R122" xr:uid="{C459FDA4-9FB3-467E-A9B9-76DB5154CD27}">
      <formula1>"ACTIVO,VENCIDO,PROCESO JURIDICO"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B205-B719-4D0C-8A55-DA454866E86C}">
  <dimension ref="A1:AB121"/>
  <sheetViews>
    <sheetView topLeftCell="A100" workbookViewId="0">
      <selection activeCell="A121" sqref="A121"/>
    </sheetView>
  </sheetViews>
  <sheetFormatPr baseColWidth="10" defaultRowHeight="15" x14ac:dyDescent="0.25"/>
  <cols>
    <col min="1" max="1" width="16.7109375" bestFit="1" customWidth="1"/>
    <col min="2" max="2" width="12.5703125" bestFit="1" customWidth="1"/>
    <col min="3" max="3" width="10.42578125" bestFit="1" customWidth="1"/>
    <col min="4" max="4" width="21.85546875" bestFit="1" customWidth="1"/>
    <col min="5" max="5" width="63.140625" bestFit="1" customWidth="1"/>
    <col min="6" max="6" width="15.42578125" bestFit="1" customWidth="1"/>
    <col min="7" max="7" width="7.85546875" bestFit="1" customWidth="1"/>
    <col min="8" max="9" width="23.85546875" bestFit="1" customWidth="1"/>
    <col min="10" max="10" width="19.5703125" bestFit="1" customWidth="1"/>
    <col min="11" max="11" width="8.5703125" bestFit="1" customWidth="1"/>
    <col min="12" max="12" width="17.42578125" bestFit="1" customWidth="1"/>
    <col min="13" max="13" width="19.140625" bestFit="1" customWidth="1"/>
    <col min="14" max="14" width="37" bestFit="1" customWidth="1"/>
    <col min="15" max="15" width="53" bestFit="1" customWidth="1"/>
    <col min="16" max="16" width="13.42578125" bestFit="1" customWidth="1"/>
    <col min="17" max="17" width="15.7109375" bestFit="1" customWidth="1"/>
    <col min="18" max="18" width="20.7109375" bestFit="1" customWidth="1"/>
    <col min="19" max="19" width="11.5703125" bestFit="1" customWidth="1"/>
    <col min="20" max="20" width="42.28515625" bestFit="1" customWidth="1"/>
    <col min="21" max="21" width="25.85546875" bestFit="1" customWidth="1"/>
    <col min="22" max="22" width="22" bestFit="1" customWidth="1"/>
    <col min="23" max="23" width="57.42578125" bestFit="1" customWidth="1"/>
    <col min="24" max="24" width="38.42578125" bestFit="1" customWidth="1"/>
    <col min="25" max="25" width="18.5703125" bestFit="1" customWidth="1"/>
    <col min="26" max="26" width="26.28515625" bestFit="1" customWidth="1"/>
    <col min="27" max="27" width="22.85546875" bestFit="1" customWidth="1"/>
    <col min="28" max="28" width="39.5703125" bestFit="1" customWidth="1"/>
  </cols>
  <sheetData>
    <row r="1" spans="1:28" x14ac:dyDescent="0.25">
      <c r="A1" t="s">
        <v>48</v>
      </c>
      <c r="B1" t="s">
        <v>637</v>
      </c>
      <c r="C1" t="s">
        <v>52</v>
      </c>
      <c r="D1" t="s">
        <v>636</v>
      </c>
      <c r="E1" t="s">
        <v>635</v>
      </c>
      <c r="F1" t="s">
        <v>62</v>
      </c>
      <c r="G1" t="s">
        <v>53</v>
      </c>
      <c r="H1" s="132" t="s">
        <v>54</v>
      </c>
      <c r="I1" s="132" t="s">
        <v>66</v>
      </c>
      <c r="J1" t="s">
        <v>55</v>
      </c>
      <c r="K1" t="s">
        <v>56</v>
      </c>
      <c r="L1" t="s">
        <v>57</v>
      </c>
      <c r="M1" t="s">
        <v>58</v>
      </c>
      <c r="N1" s="132" t="s">
        <v>59</v>
      </c>
      <c r="O1" t="s">
        <v>60</v>
      </c>
      <c r="P1" t="s">
        <v>962</v>
      </c>
      <c r="Q1" t="s">
        <v>963</v>
      </c>
      <c r="R1" t="s">
        <v>991</v>
      </c>
      <c r="S1" t="s">
        <v>992</v>
      </c>
      <c r="T1" t="s">
        <v>993</v>
      </c>
      <c r="U1" t="s">
        <v>994</v>
      </c>
      <c r="V1" t="s">
        <v>995</v>
      </c>
      <c r="W1" t="s">
        <v>996</v>
      </c>
      <c r="X1" t="s">
        <v>997</v>
      </c>
      <c r="Y1" t="s">
        <v>998</v>
      </c>
      <c r="Z1" t="s">
        <v>999</v>
      </c>
      <c r="AA1" t="s">
        <v>1000</v>
      </c>
      <c r="AB1" t="s">
        <v>1001</v>
      </c>
    </row>
    <row r="2" spans="1:28" x14ac:dyDescent="0.25">
      <c r="A2">
        <v>419</v>
      </c>
      <c r="B2">
        <v>10059740</v>
      </c>
      <c r="C2">
        <v>1700000</v>
      </c>
      <c r="D2">
        <v>3863000</v>
      </c>
      <c r="E2" t="s">
        <v>1002</v>
      </c>
      <c r="F2">
        <v>502190</v>
      </c>
      <c r="G2">
        <v>0</v>
      </c>
      <c r="H2" s="132">
        <v>44942</v>
      </c>
      <c r="I2" s="132">
        <v>45032</v>
      </c>
      <c r="J2" t="s">
        <v>634</v>
      </c>
      <c r="K2">
        <v>0</v>
      </c>
      <c r="L2" s="125"/>
      <c r="M2" t="s">
        <v>1003</v>
      </c>
      <c r="N2" s="132" t="s">
        <v>1003</v>
      </c>
      <c r="O2" t="s">
        <v>1003</v>
      </c>
      <c r="R2" t="s">
        <v>989</v>
      </c>
      <c r="T2" t="s">
        <v>0</v>
      </c>
      <c r="U2">
        <v>10059740</v>
      </c>
      <c r="V2" t="s">
        <v>1003</v>
      </c>
      <c r="W2" t="s">
        <v>1</v>
      </c>
      <c r="X2" t="s">
        <v>1003</v>
      </c>
      <c r="Y2" t="s">
        <v>1003</v>
      </c>
      <c r="Z2" t="s">
        <v>1003</v>
      </c>
      <c r="AA2">
        <v>3122515023</v>
      </c>
      <c r="AB2" t="s">
        <v>1003</v>
      </c>
    </row>
    <row r="3" spans="1:28" x14ac:dyDescent="0.25">
      <c r="A3">
        <v>437</v>
      </c>
      <c r="B3">
        <v>10059740</v>
      </c>
      <c r="C3">
        <v>500000</v>
      </c>
      <c r="D3">
        <v>2195000</v>
      </c>
      <c r="E3" t="s">
        <v>1004</v>
      </c>
      <c r="F3">
        <v>285350</v>
      </c>
      <c r="G3">
        <v>0.13</v>
      </c>
      <c r="H3" s="132">
        <v>44974</v>
      </c>
      <c r="I3" s="132">
        <v>45063</v>
      </c>
      <c r="J3" t="s">
        <v>641</v>
      </c>
      <c r="K3">
        <v>0</v>
      </c>
      <c r="L3" s="125"/>
      <c r="M3" t="s">
        <v>20</v>
      </c>
      <c r="N3" s="132">
        <v>45107</v>
      </c>
      <c r="O3" t="s">
        <v>1003</v>
      </c>
      <c r="R3" t="s">
        <v>989</v>
      </c>
      <c r="T3" t="s">
        <v>0</v>
      </c>
      <c r="U3">
        <v>10059740</v>
      </c>
      <c r="V3" t="s">
        <v>1003</v>
      </c>
      <c r="W3" t="s">
        <v>1</v>
      </c>
      <c r="X3" t="s">
        <v>1003</v>
      </c>
      <c r="Y3" t="s">
        <v>1003</v>
      </c>
      <c r="Z3" t="s">
        <v>1003</v>
      </c>
      <c r="AA3">
        <v>3122515023</v>
      </c>
      <c r="AB3" t="s">
        <v>1003</v>
      </c>
    </row>
    <row r="4" spans="1:28" x14ac:dyDescent="0.25">
      <c r="A4">
        <v>420</v>
      </c>
      <c r="B4">
        <v>10084648</v>
      </c>
      <c r="C4">
        <v>300000</v>
      </c>
      <c r="D4">
        <v>1917000</v>
      </c>
      <c r="E4" t="s">
        <v>1005</v>
      </c>
      <c r="F4">
        <v>249210</v>
      </c>
      <c r="G4">
        <v>0.13</v>
      </c>
      <c r="H4" s="132">
        <v>44942</v>
      </c>
      <c r="I4" s="132">
        <v>45032</v>
      </c>
      <c r="J4" t="s">
        <v>956</v>
      </c>
      <c r="K4">
        <v>339000</v>
      </c>
      <c r="L4" s="125">
        <v>44944</v>
      </c>
      <c r="M4" t="s">
        <v>4</v>
      </c>
      <c r="N4" s="132">
        <v>44944</v>
      </c>
      <c r="O4" t="s">
        <v>1003</v>
      </c>
      <c r="R4" t="s">
        <v>989</v>
      </c>
      <c r="T4" t="s">
        <v>2</v>
      </c>
      <c r="U4">
        <v>10084648</v>
      </c>
      <c r="V4" t="s">
        <v>1003</v>
      </c>
      <c r="W4" t="s">
        <v>3</v>
      </c>
      <c r="X4" t="s">
        <v>1003</v>
      </c>
      <c r="Y4" t="s">
        <v>1003</v>
      </c>
      <c r="Z4" t="s">
        <v>1003</v>
      </c>
      <c r="AA4">
        <v>3217266221</v>
      </c>
      <c r="AB4" t="s">
        <v>1003</v>
      </c>
    </row>
    <row r="5" spans="1:28" x14ac:dyDescent="0.25">
      <c r="A5">
        <v>421</v>
      </c>
      <c r="B5">
        <v>18514280</v>
      </c>
      <c r="C5">
        <v>1500000</v>
      </c>
      <c r="D5">
        <v>3585000</v>
      </c>
      <c r="E5" t="s">
        <v>1006</v>
      </c>
      <c r="F5">
        <v>466050</v>
      </c>
      <c r="G5">
        <v>0.13</v>
      </c>
      <c r="H5" s="132">
        <v>44942</v>
      </c>
      <c r="I5" s="132">
        <v>45032</v>
      </c>
      <c r="J5" t="s">
        <v>956</v>
      </c>
      <c r="K5">
        <v>0</v>
      </c>
      <c r="L5" s="125"/>
      <c r="M5" t="s">
        <v>4</v>
      </c>
      <c r="N5" s="132">
        <v>44973</v>
      </c>
      <c r="O5" t="s">
        <v>1003</v>
      </c>
      <c r="R5" t="s">
        <v>989</v>
      </c>
      <c r="T5" t="s">
        <v>5</v>
      </c>
      <c r="U5">
        <v>18514280</v>
      </c>
      <c r="V5" t="s">
        <v>1003</v>
      </c>
      <c r="W5" t="s">
        <v>6</v>
      </c>
      <c r="X5" t="s">
        <v>1003</v>
      </c>
      <c r="Y5" t="s">
        <v>1003</v>
      </c>
      <c r="Z5" t="s">
        <v>1003</v>
      </c>
      <c r="AA5">
        <v>3205870266</v>
      </c>
      <c r="AB5" t="s">
        <v>1003</v>
      </c>
    </row>
    <row r="6" spans="1:28" x14ac:dyDescent="0.25">
      <c r="A6">
        <v>422</v>
      </c>
      <c r="B6">
        <v>94229441</v>
      </c>
      <c r="C6">
        <v>2000000</v>
      </c>
      <c r="D6">
        <v>4280000</v>
      </c>
      <c r="E6" t="s">
        <v>1007</v>
      </c>
      <c r="F6">
        <v>556400</v>
      </c>
      <c r="G6">
        <v>0.13</v>
      </c>
      <c r="H6" s="132">
        <v>44944</v>
      </c>
      <c r="I6" s="132">
        <v>45034</v>
      </c>
      <c r="J6" t="s">
        <v>641</v>
      </c>
      <c r="K6">
        <v>2260000</v>
      </c>
      <c r="L6" s="125">
        <v>44977</v>
      </c>
      <c r="M6" t="s">
        <v>4</v>
      </c>
      <c r="N6" s="132">
        <v>44977</v>
      </c>
      <c r="O6" t="s">
        <v>1003</v>
      </c>
      <c r="R6" t="s">
        <v>989</v>
      </c>
      <c r="T6" t="s">
        <v>7</v>
      </c>
      <c r="U6">
        <v>94229441</v>
      </c>
      <c r="V6" t="s">
        <v>1003</v>
      </c>
      <c r="W6" t="s">
        <v>8</v>
      </c>
      <c r="X6" t="s">
        <v>1003</v>
      </c>
      <c r="Y6" t="s">
        <v>1003</v>
      </c>
      <c r="Z6" t="s">
        <v>1003</v>
      </c>
      <c r="AA6">
        <v>3185376934</v>
      </c>
      <c r="AB6" t="s">
        <v>1003</v>
      </c>
    </row>
    <row r="7" spans="1:28" x14ac:dyDescent="0.25">
      <c r="A7">
        <v>458</v>
      </c>
      <c r="B7">
        <v>94229441</v>
      </c>
      <c r="C7">
        <v>1000000</v>
      </c>
      <c r="D7">
        <v>2890000</v>
      </c>
      <c r="E7" t="s">
        <v>1008</v>
      </c>
      <c r="F7">
        <v>375700</v>
      </c>
      <c r="G7">
        <v>0.13</v>
      </c>
      <c r="H7" s="132">
        <v>45016</v>
      </c>
      <c r="I7" s="132">
        <v>45108</v>
      </c>
      <c r="J7" t="s">
        <v>641</v>
      </c>
      <c r="K7">
        <v>0</v>
      </c>
      <c r="L7" s="125"/>
      <c r="M7" t="s">
        <v>20</v>
      </c>
      <c r="N7" s="132">
        <v>45049</v>
      </c>
      <c r="O7" t="s">
        <v>1003</v>
      </c>
      <c r="R7" t="s">
        <v>989</v>
      </c>
      <c r="T7" t="s">
        <v>7</v>
      </c>
      <c r="U7">
        <v>94229441</v>
      </c>
      <c r="V7" t="s">
        <v>1003</v>
      </c>
      <c r="W7" t="s">
        <v>8</v>
      </c>
      <c r="X7" t="s">
        <v>1003</v>
      </c>
      <c r="Y7" t="s">
        <v>1003</v>
      </c>
      <c r="Z7" t="s">
        <v>1003</v>
      </c>
      <c r="AA7">
        <v>3185376934</v>
      </c>
      <c r="AB7" t="s">
        <v>1003</v>
      </c>
    </row>
    <row r="8" spans="1:28" x14ac:dyDescent="0.25">
      <c r="A8" t="s">
        <v>10</v>
      </c>
      <c r="B8">
        <v>4477806</v>
      </c>
      <c r="C8">
        <v>400000</v>
      </c>
      <c r="D8">
        <v>2056000</v>
      </c>
      <c r="E8" t="s">
        <v>1009</v>
      </c>
      <c r="F8">
        <v>267280</v>
      </c>
      <c r="G8">
        <v>0.13</v>
      </c>
      <c r="H8" s="132">
        <v>44944</v>
      </c>
      <c r="I8" s="132">
        <v>45034</v>
      </c>
      <c r="J8" t="s">
        <v>641</v>
      </c>
      <c r="K8">
        <v>452000</v>
      </c>
      <c r="L8" s="125">
        <v>44960</v>
      </c>
      <c r="M8" t="s">
        <v>4</v>
      </c>
      <c r="N8" s="132">
        <v>44960</v>
      </c>
      <c r="O8" t="s">
        <v>1003</v>
      </c>
      <c r="R8" t="s">
        <v>989</v>
      </c>
      <c r="T8" t="s">
        <v>9</v>
      </c>
      <c r="U8">
        <v>4477806</v>
      </c>
      <c r="V8" t="s">
        <v>1003</v>
      </c>
      <c r="W8" t="s">
        <v>11</v>
      </c>
      <c r="X8" t="s">
        <v>1003</v>
      </c>
      <c r="Y8" t="s">
        <v>1003</v>
      </c>
      <c r="Z8" t="s">
        <v>1003</v>
      </c>
      <c r="AA8" t="s">
        <v>12</v>
      </c>
      <c r="AB8" t="s">
        <v>1003</v>
      </c>
    </row>
    <row r="9" spans="1:28" x14ac:dyDescent="0.25">
      <c r="A9">
        <v>423</v>
      </c>
      <c r="B9">
        <v>16204430</v>
      </c>
      <c r="C9">
        <v>850000</v>
      </c>
      <c r="D9">
        <v>2681500</v>
      </c>
      <c r="E9" t="s">
        <v>1010</v>
      </c>
      <c r="F9">
        <v>348595</v>
      </c>
      <c r="G9">
        <v>0.13</v>
      </c>
      <c r="H9" s="132">
        <v>44945</v>
      </c>
      <c r="I9" s="132">
        <v>45035</v>
      </c>
      <c r="J9" t="s">
        <v>956</v>
      </c>
      <c r="K9">
        <v>0</v>
      </c>
      <c r="L9" s="125"/>
      <c r="M9" t="s">
        <v>1003</v>
      </c>
      <c r="N9" s="132" t="s">
        <v>1003</v>
      </c>
      <c r="O9" t="s">
        <v>386</v>
      </c>
      <c r="R9" t="s">
        <v>989</v>
      </c>
      <c r="T9" t="s">
        <v>13</v>
      </c>
      <c r="U9">
        <v>16204430</v>
      </c>
      <c r="V9" t="s">
        <v>1003</v>
      </c>
      <c r="W9" t="s">
        <v>14</v>
      </c>
      <c r="X9" t="s">
        <v>1003</v>
      </c>
      <c r="Y9" t="s">
        <v>1003</v>
      </c>
      <c r="Z9" t="s">
        <v>1003</v>
      </c>
      <c r="AA9">
        <v>3128509307</v>
      </c>
      <c r="AB9" t="s">
        <v>1003</v>
      </c>
    </row>
    <row r="10" spans="1:28" x14ac:dyDescent="0.25">
      <c r="A10">
        <v>424</v>
      </c>
      <c r="B10">
        <v>24602460</v>
      </c>
      <c r="C10">
        <v>500000</v>
      </c>
      <c r="D10">
        <v>2195000</v>
      </c>
      <c r="E10" t="s">
        <v>1004</v>
      </c>
      <c r="F10">
        <v>285350</v>
      </c>
      <c r="G10">
        <v>0.13</v>
      </c>
      <c r="H10" s="132">
        <v>44946</v>
      </c>
      <c r="I10" s="132">
        <v>45036</v>
      </c>
      <c r="J10" t="s">
        <v>641</v>
      </c>
      <c r="K10">
        <v>1916000</v>
      </c>
      <c r="L10" s="125">
        <v>44965</v>
      </c>
      <c r="M10" t="s">
        <v>17</v>
      </c>
      <c r="N10" s="132">
        <v>44965</v>
      </c>
      <c r="O10" t="s">
        <v>1003</v>
      </c>
      <c r="R10" t="s">
        <v>989</v>
      </c>
      <c r="T10" t="s">
        <v>15</v>
      </c>
      <c r="U10">
        <v>24602460</v>
      </c>
      <c r="V10" t="s">
        <v>1003</v>
      </c>
      <c r="W10" t="s">
        <v>16</v>
      </c>
      <c r="X10" t="s">
        <v>1003</v>
      </c>
      <c r="Y10" t="s">
        <v>1003</v>
      </c>
      <c r="Z10" t="s">
        <v>1003</v>
      </c>
      <c r="AA10">
        <v>3145867385</v>
      </c>
      <c r="AB10" t="s">
        <v>1003</v>
      </c>
    </row>
    <row r="11" spans="1:28" x14ac:dyDescent="0.25">
      <c r="A11">
        <v>425</v>
      </c>
      <c r="B11">
        <v>16474512</v>
      </c>
      <c r="C11">
        <v>1000000</v>
      </c>
      <c r="D11">
        <v>2890000</v>
      </c>
      <c r="E11" t="s">
        <v>1008</v>
      </c>
      <c r="F11">
        <v>375700</v>
      </c>
      <c r="G11">
        <v>0.13</v>
      </c>
      <c r="H11" s="132">
        <v>44946</v>
      </c>
      <c r="I11" s="132">
        <v>45036</v>
      </c>
      <c r="J11" t="s">
        <v>641</v>
      </c>
      <c r="K11">
        <v>2260000</v>
      </c>
      <c r="L11" s="125">
        <v>44957</v>
      </c>
      <c r="M11" t="s">
        <v>20</v>
      </c>
      <c r="N11" s="132">
        <v>44957</v>
      </c>
      <c r="O11" t="s">
        <v>1003</v>
      </c>
      <c r="R11" t="s">
        <v>989</v>
      </c>
      <c r="T11" t="s">
        <v>18</v>
      </c>
      <c r="U11">
        <v>16474512</v>
      </c>
      <c r="V11" t="s">
        <v>1003</v>
      </c>
      <c r="W11" t="s">
        <v>19</v>
      </c>
      <c r="X11" t="s">
        <v>1003</v>
      </c>
      <c r="Y11" t="s">
        <v>1003</v>
      </c>
      <c r="Z11" t="s">
        <v>1003</v>
      </c>
      <c r="AA11">
        <v>3006547881</v>
      </c>
      <c r="AB11" t="s">
        <v>1003</v>
      </c>
    </row>
    <row r="12" spans="1:28" x14ac:dyDescent="0.25">
      <c r="A12">
        <v>438</v>
      </c>
      <c r="B12">
        <v>16474512</v>
      </c>
      <c r="C12">
        <v>1000000</v>
      </c>
      <c r="D12">
        <v>2890000</v>
      </c>
      <c r="E12" t="s">
        <v>1008</v>
      </c>
      <c r="F12">
        <v>375700</v>
      </c>
      <c r="G12">
        <v>0.13</v>
      </c>
      <c r="H12" s="132">
        <v>44977</v>
      </c>
      <c r="I12" s="132">
        <v>45066</v>
      </c>
      <c r="J12" t="s">
        <v>956</v>
      </c>
      <c r="K12">
        <v>0</v>
      </c>
      <c r="L12" s="125"/>
      <c r="M12" t="s">
        <v>1003</v>
      </c>
      <c r="N12" s="132" t="s">
        <v>1003</v>
      </c>
      <c r="O12" t="s">
        <v>1003</v>
      </c>
      <c r="R12" t="s">
        <v>989</v>
      </c>
      <c r="T12" t="s">
        <v>18</v>
      </c>
      <c r="U12">
        <v>16474512</v>
      </c>
      <c r="V12" t="s">
        <v>1003</v>
      </c>
      <c r="W12" t="s">
        <v>19</v>
      </c>
      <c r="X12" t="s">
        <v>1003</v>
      </c>
      <c r="Y12" t="s">
        <v>1003</v>
      </c>
      <c r="Z12" t="s">
        <v>1003</v>
      </c>
      <c r="AA12">
        <v>3006547881</v>
      </c>
      <c r="AB12" t="s">
        <v>1003</v>
      </c>
    </row>
    <row r="13" spans="1:28" x14ac:dyDescent="0.25">
      <c r="A13">
        <v>426</v>
      </c>
      <c r="B13">
        <v>10063257</v>
      </c>
      <c r="C13">
        <v>300000</v>
      </c>
      <c r="D13">
        <v>1917000</v>
      </c>
      <c r="E13" t="s">
        <v>1005</v>
      </c>
      <c r="F13">
        <v>249210</v>
      </c>
      <c r="G13">
        <v>0.13</v>
      </c>
      <c r="H13" s="132">
        <v>44946</v>
      </c>
      <c r="I13" s="132">
        <v>45036</v>
      </c>
      <c r="J13" t="s">
        <v>641</v>
      </c>
      <c r="K13">
        <v>0</v>
      </c>
      <c r="L13" s="125"/>
      <c r="M13" t="s">
        <v>4</v>
      </c>
      <c r="N13" s="132">
        <v>44988</v>
      </c>
      <c r="O13" t="s">
        <v>1003</v>
      </c>
      <c r="R13" t="s">
        <v>989</v>
      </c>
      <c r="T13" t="s">
        <v>21</v>
      </c>
      <c r="U13">
        <v>10063257</v>
      </c>
      <c r="V13" t="s">
        <v>1003</v>
      </c>
      <c r="W13" t="s">
        <v>22</v>
      </c>
      <c r="X13" t="s">
        <v>1003</v>
      </c>
      <c r="Y13" t="s">
        <v>1003</v>
      </c>
      <c r="Z13" t="s">
        <v>1003</v>
      </c>
      <c r="AA13">
        <v>3104711383</v>
      </c>
      <c r="AB13" t="s">
        <v>1003</v>
      </c>
    </row>
    <row r="14" spans="1:28" x14ac:dyDescent="0.25">
      <c r="A14">
        <v>507</v>
      </c>
      <c r="B14">
        <v>10109440</v>
      </c>
      <c r="C14">
        <v>1000000</v>
      </c>
      <c r="D14">
        <v>2890000</v>
      </c>
      <c r="E14" t="s">
        <v>1008</v>
      </c>
      <c r="F14">
        <v>375700</v>
      </c>
      <c r="G14">
        <v>0.13</v>
      </c>
      <c r="H14" s="132">
        <v>44958</v>
      </c>
      <c r="I14" s="132">
        <v>45047</v>
      </c>
      <c r="J14" t="s">
        <v>641</v>
      </c>
      <c r="K14">
        <v>1746500</v>
      </c>
      <c r="L14" s="125">
        <v>44970</v>
      </c>
      <c r="M14" t="s">
        <v>20</v>
      </c>
      <c r="N14" s="132">
        <v>44970</v>
      </c>
      <c r="O14" t="s">
        <v>1003</v>
      </c>
      <c r="R14" t="s">
        <v>989</v>
      </c>
      <c r="T14" t="s">
        <v>23</v>
      </c>
      <c r="U14">
        <v>10109440</v>
      </c>
      <c r="V14" t="s">
        <v>1003</v>
      </c>
      <c r="W14" t="s">
        <v>24</v>
      </c>
      <c r="X14" t="s">
        <v>1003</v>
      </c>
      <c r="Y14" t="s">
        <v>1003</v>
      </c>
      <c r="Z14" t="s">
        <v>1003</v>
      </c>
      <c r="AA14">
        <v>3053413440</v>
      </c>
      <c r="AB14" t="s">
        <v>1003</v>
      </c>
    </row>
    <row r="15" spans="1:28" x14ac:dyDescent="0.25">
      <c r="A15">
        <v>508</v>
      </c>
      <c r="B15">
        <v>42056761</v>
      </c>
      <c r="C15">
        <v>2000000</v>
      </c>
      <c r="D15">
        <v>4280000</v>
      </c>
      <c r="E15" t="s">
        <v>1007</v>
      </c>
      <c r="F15">
        <v>556400</v>
      </c>
      <c r="G15">
        <v>0.13</v>
      </c>
      <c r="H15" s="132">
        <v>44961</v>
      </c>
      <c r="I15" s="132">
        <v>45050</v>
      </c>
      <c r="J15" t="s">
        <v>641</v>
      </c>
      <c r="K15">
        <v>0</v>
      </c>
      <c r="L15" s="125"/>
      <c r="M15" t="s">
        <v>1003</v>
      </c>
      <c r="N15" s="132" t="s">
        <v>1003</v>
      </c>
      <c r="O15" t="s">
        <v>386</v>
      </c>
      <c r="R15" t="s">
        <v>989</v>
      </c>
      <c r="T15" t="s">
        <v>25</v>
      </c>
      <c r="U15">
        <v>42056761</v>
      </c>
      <c r="V15" t="s">
        <v>1003</v>
      </c>
      <c r="W15" t="s">
        <v>26</v>
      </c>
      <c r="X15" t="s">
        <v>1003</v>
      </c>
      <c r="Y15" t="s">
        <v>1003</v>
      </c>
      <c r="Z15" t="s">
        <v>1003</v>
      </c>
      <c r="AA15">
        <v>3173776557</v>
      </c>
      <c r="AB15" t="s">
        <v>1003</v>
      </c>
    </row>
    <row r="16" spans="1:28" x14ac:dyDescent="0.25">
      <c r="A16">
        <v>429</v>
      </c>
      <c r="B16">
        <v>10073529</v>
      </c>
      <c r="C16">
        <v>2000000</v>
      </c>
      <c r="D16">
        <v>4280000</v>
      </c>
      <c r="E16" t="s">
        <v>1007</v>
      </c>
      <c r="F16">
        <v>556400</v>
      </c>
      <c r="G16">
        <v>0.13</v>
      </c>
      <c r="H16" s="132">
        <v>44963</v>
      </c>
      <c r="I16" s="132">
        <v>45052</v>
      </c>
      <c r="J16" t="s">
        <v>641</v>
      </c>
      <c r="K16">
        <v>0</v>
      </c>
      <c r="L16" s="125">
        <v>45162</v>
      </c>
      <c r="M16" t="s">
        <v>1003</v>
      </c>
      <c r="N16" s="132" t="s">
        <v>1003</v>
      </c>
      <c r="O16" t="s">
        <v>386</v>
      </c>
      <c r="R16" t="s">
        <v>989</v>
      </c>
      <c r="T16" t="s">
        <v>27</v>
      </c>
      <c r="U16">
        <v>10073529</v>
      </c>
      <c r="V16" t="s">
        <v>1003</v>
      </c>
      <c r="W16" t="s">
        <v>28</v>
      </c>
      <c r="X16" t="s">
        <v>1003</v>
      </c>
      <c r="Y16" t="s">
        <v>1003</v>
      </c>
      <c r="Z16" t="s">
        <v>1003</v>
      </c>
      <c r="AA16">
        <v>3207184824</v>
      </c>
      <c r="AB16" t="s">
        <v>1003</v>
      </c>
    </row>
    <row r="17" spans="1:28" x14ac:dyDescent="0.25">
      <c r="A17" t="s">
        <v>30</v>
      </c>
      <c r="B17">
        <v>10220144</v>
      </c>
      <c r="C17">
        <v>800000</v>
      </c>
      <c r="D17">
        <v>2612000</v>
      </c>
      <c r="E17" t="s">
        <v>1011</v>
      </c>
      <c r="F17">
        <v>339560</v>
      </c>
      <c r="G17">
        <v>0.13</v>
      </c>
      <c r="H17" s="132">
        <v>44963</v>
      </c>
      <c r="I17" s="132">
        <v>45052</v>
      </c>
      <c r="J17" t="s">
        <v>641</v>
      </c>
      <c r="K17">
        <v>1302000</v>
      </c>
      <c r="L17" s="125">
        <v>44964</v>
      </c>
      <c r="M17" t="s">
        <v>4</v>
      </c>
      <c r="N17" s="132">
        <v>44964</v>
      </c>
      <c r="O17" t="s">
        <v>1003</v>
      </c>
      <c r="R17" t="s">
        <v>989</v>
      </c>
      <c r="T17" t="s">
        <v>29</v>
      </c>
      <c r="U17">
        <v>10220144</v>
      </c>
      <c r="V17" t="s">
        <v>1003</v>
      </c>
      <c r="W17" t="s">
        <v>31</v>
      </c>
      <c r="X17" t="s">
        <v>1003</v>
      </c>
      <c r="Y17" t="s">
        <v>1003</v>
      </c>
      <c r="Z17" t="s">
        <v>1003</v>
      </c>
      <c r="AA17">
        <v>3135263442</v>
      </c>
      <c r="AB17" t="s">
        <v>1003</v>
      </c>
    </row>
    <row r="18" spans="1:28" x14ac:dyDescent="0.25">
      <c r="A18">
        <v>430</v>
      </c>
      <c r="B18">
        <v>15896014</v>
      </c>
      <c r="C18">
        <v>1000000</v>
      </c>
      <c r="D18">
        <v>2890000</v>
      </c>
      <c r="E18" t="s">
        <v>1008</v>
      </c>
      <c r="F18">
        <v>375700</v>
      </c>
      <c r="G18">
        <v>0.13</v>
      </c>
      <c r="H18" s="132">
        <v>44964</v>
      </c>
      <c r="I18" s="132">
        <v>45053</v>
      </c>
      <c r="J18" t="s">
        <v>641</v>
      </c>
      <c r="K18">
        <v>0</v>
      </c>
      <c r="L18" s="125"/>
      <c r="M18" t="s">
        <v>4</v>
      </c>
      <c r="N18" s="132">
        <v>44974</v>
      </c>
      <c r="O18" t="s">
        <v>1003</v>
      </c>
      <c r="R18" t="s">
        <v>989</v>
      </c>
      <c r="T18" t="s">
        <v>32</v>
      </c>
      <c r="U18">
        <v>15896014</v>
      </c>
      <c r="V18" t="s">
        <v>1003</v>
      </c>
      <c r="W18" t="s">
        <v>33</v>
      </c>
      <c r="X18" t="s">
        <v>1003</v>
      </c>
      <c r="Y18" t="s">
        <v>1003</v>
      </c>
      <c r="Z18" t="s">
        <v>1003</v>
      </c>
      <c r="AA18">
        <v>3106248962</v>
      </c>
      <c r="AB18" t="s">
        <v>1003</v>
      </c>
    </row>
    <row r="19" spans="1:28" x14ac:dyDescent="0.25">
      <c r="A19">
        <v>431</v>
      </c>
      <c r="B19">
        <v>10060779</v>
      </c>
      <c r="C19">
        <v>200000</v>
      </c>
      <c r="D19">
        <v>1778000</v>
      </c>
      <c r="E19" t="s">
        <v>1012</v>
      </c>
      <c r="F19">
        <v>231140</v>
      </c>
      <c r="G19">
        <v>0.13</v>
      </c>
      <c r="H19" s="132">
        <v>44964</v>
      </c>
      <c r="I19" s="132">
        <v>45053</v>
      </c>
      <c r="J19" t="s">
        <v>641</v>
      </c>
      <c r="K19">
        <v>0</v>
      </c>
      <c r="L19" s="125"/>
      <c r="M19" t="s">
        <v>35</v>
      </c>
      <c r="N19" s="132">
        <v>44973</v>
      </c>
      <c r="O19" t="s">
        <v>1003</v>
      </c>
      <c r="R19" t="s">
        <v>989</v>
      </c>
      <c r="T19" t="s">
        <v>34</v>
      </c>
      <c r="U19">
        <v>10060779</v>
      </c>
      <c r="V19" t="s">
        <v>72</v>
      </c>
      <c r="W19" t="s">
        <v>210</v>
      </c>
      <c r="X19" t="s">
        <v>211</v>
      </c>
      <c r="Y19" t="s">
        <v>89</v>
      </c>
      <c r="Z19" t="s">
        <v>73</v>
      </c>
      <c r="AA19">
        <v>3178487073</v>
      </c>
      <c r="AB19" t="s">
        <v>424</v>
      </c>
    </row>
    <row r="20" spans="1:28" x14ac:dyDescent="0.25">
      <c r="A20">
        <v>451</v>
      </c>
      <c r="B20">
        <v>10060779</v>
      </c>
      <c r="C20">
        <v>200000</v>
      </c>
      <c r="D20">
        <v>1778000</v>
      </c>
      <c r="E20" t="s">
        <v>1012</v>
      </c>
      <c r="F20">
        <v>231140</v>
      </c>
      <c r="G20">
        <v>0.13</v>
      </c>
      <c r="H20" s="132">
        <v>45002</v>
      </c>
      <c r="I20" s="132">
        <v>45094</v>
      </c>
      <c r="J20" t="s">
        <v>641</v>
      </c>
      <c r="K20">
        <v>0</v>
      </c>
      <c r="L20" s="125"/>
      <c r="M20" t="s">
        <v>4</v>
      </c>
      <c r="N20" s="132">
        <v>45015</v>
      </c>
      <c r="O20" t="s">
        <v>1003</v>
      </c>
      <c r="R20" t="s">
        <v>989</v>
      </c>
      <c r="T20" t="s">
        <v>34</v>
      </c>
      <c r="U20">
        <v>10060779</v>
      </c>
      <c r="V20" t="s">
        <v>72</v>
      </c>
      <c r="W20" t="s">
        <v>210</v>
      </c>
      <c r="X20" t="s">
        <v>211</v>
      </c>
      <c r="Y20" t="s">
        <v>89</v>
      </c>
      <c r="Z20" t="s">
        <v>73</v>
      </c>
      <c r="AA20">
        <v>3178487073</v>
      </c>
      <c r="AB20" t="s">
        <v>424</v>
      </c>
    </row>
    <row r="21" spans="1:28" x14ac:dyDescent="0.25">
      <c r="A21">
        <v>480</v>
      </c>
      <c r="B21">
        <v>10060779</v>
      </c>
      <c r="C21">
        <v>500000</v>
      </c>
      <c r="D21">
        <v>2195000</v>
      </c>
      <c r="E21" t="s">
        <v>1004</v>
      </c>
      <c r="F21">
        <v>285350</v>
      </c>
      <c r="G21">
        <v>0.13</v>
      </c>
      <c r="H21" s="132">
        <v>45065</v>
      </c>
      <c r="I21" s="132">
        <v>45157</v>
      </c>
      <c r="J21" t="s">
        <v>362</v>
      </c>
      <c r="K21">
        <v>0</v>
      </c>
      <c r="L21" s="125"/>
      <c r="M21" t="s">
        <v>1003</v>
      </c>
      <c r="N21" s="132" t="s">
        <v>1003</v>
      </c>
      <c r="O21" t="s">
        <v>1003</v>
      </c>
      <c r="R21" t="s">
        <v>989</v>
      </c>
      <c r="T21" t="s">
        <v>34</v>
      </c>
      <c r="U21">
        <v>10060779</v>
      </c>
      <c r="V21" t="s">
        <v>72</v>
      </c>
      <c r="W21" t="s">
        <v>210</v>
      </c>
      <c r="X21" t="s">
        <v>211</v>
      </c>
      <c r="Y21" t="s">
        <v>89</v>
      </c>
      <c r="Z21" t="s">
        <v>73</v>
      </c>
      <c r="AA21">
        <v>3178487073</v>
      </c>
      <c r="AB21" t="s">
        <v>424</v>
      </c>
    </row>
    <row r="22" spans="1:28" x14ac:dyDescent="0.25">
      <c r="A22">
        <v>432</v>
      </c>
      <c r="B22">
        <v>10094542</v>
      </c>
      <c r="C22">
        <v>700000</v>
      </c>
      <c r="D22">
        <v>2473000</v>
      </c>
      <c r="E22" t="s">
        <v>1013</v>
      </c>
      <c r="F22">
        <v>321490</v>
      </c>
      <c r="G22">
        <v>0.13</v>
      </c>
      <c r="H22" s="132">
        <v>44965</v>
      </c>
      <c r="I22" s="132">
        <v>45054</v>
      </c>
      <c r="J22" t="s">
        <v>641</v>
      </c>
      <c r="K22">
        <v>0</v>
      </c>
      <c r="L22" s="125"/>
      <c r="M22" t="s">
        <v>35</v>
      </c>
      <c r="N22" s="132">
        <v>44973</v>
      </c>
      <c r="O22" t="s">
        <v>1003</v>
      </c>
      <c r="R22" t="s">
        <v>989</v>
      </c>
      <c r="T22" t="s">
        <v>36</v>
      </c>
      <c r="U22">
        <v>10094542</v>
      </c>
      <c r="V22" t="s">
        <v>1003</v>
      </c>
      <c r="W22" t="s">
        <v>37</v>
      </c>
      <c r="X22" t="s">
        <v>1003</v>
      </c>
      <c r="Y22" t="s">
        <v>1003</v>
      </c>
      <c r="Z22" t="s">
        <v>1003</v>
      </c>
      <c r="AA22">
        <v>3016885914</v>
      </c>
      <c r="AB22" t="s">
        <v>1003</v>
      </c>
    </row>
    <row r="23" spans="1:28" x14ac:dyDescent="0.25">
      <c r="A23">
        <v>433</v>
      </c>
      <c r="B23">
        <v>18507024</v>
      </c>
      <c r="C23">
        <v>5000000</v>
      </c>
      <c r="D23">
        <v>8450000</v>
      </c>
      <c r="E23" t="s">
        <v>1014</v>
      </c>
      <c r="F23">
        <v>1098500</v>
      </c>
      <c r="G23">
        <v>0.13</v>
      </c>
      <c r="H23" s="132">
        <v>44970</v>
      </c>
      <c r="I23" s="132">
        <v>45059</v>
      </c>
      <c r="J23" t="s">
        <v>641</v>
      </c>
      <c r="K23">
        <v>0</v>
      </c>
      <c r="L23" s="125"/>
      <c r="M23" t="s">
        <v>4</v>
      </c>
      <c r="N23" s="132">
        <v>44987</v>
      </c>
      <c r="O23" t="s">
        <v>1003</v>
      </c>
      <c r="R23" t="s">
        <v>989</v>
      </c>
      <c r="T23" t="s">
        <v>38</v>
      </c>
      <c r="U23">
        <v>18507024</v>
      </c>
      <c r="V23" t="s">
        <v>1003</v>
      </c>
      <c r="W23" t="s">
        <v>39</v>
      </c>
      <c r="X23" t="s">
        <v>1003</v>
      </c>
      <c r="Y23" t="s">
        <v>1003</v>
      </c>
      <c r="Z23" t="s">
        <v>1003</v>
      </c>
      <c r="AA23">
        <v>3158762448</v>
      </c>
      <c r="AB23" t="s">
        <v>1003</v>
      </c>
    </row>
    <row r="24" spans="1:28" x14ac:dyDescent="0.25">
      <c r="A24">
        <v>434</v>
      </c>
      <c r="B24">
        <v>28546398</v>
      </c>
      <c r="C24">
        <v>1000000</v>
      </c>
      <c r="D24">
        <v>2890000</v>
      </c>
      <c r="E24" t="s">
        <v>1008</v>
      </c>
      <c r="F24">
        <v>375700</v>
      </c>
      <c r="G24">
        <v>0.13</v>
      </c>
      <c r="H24" s="132">
        <v>44972</v>
      </c>
      <c r="I24" s="132">
        <v>45061</v>
      </c>
      <c r="J24" t="s">
        <v>641</v>
      </c>
      <c r="K24">
        <v>0</v>
      </c>
      <c r="L24" s="125"/>
      <c r="M24" t="s">
        <v>4</v>
      </c>
      <c r="N24" s="132">
        <v>44981</v>
      </c>
      <c r="O24" t="s">
        <v>1003</v>
      </c>
      <c r="R24" t="s">
        <v>989</v>
      </c>
      <c r="T24" t="s">
        <v>40</v>
      </c>
      <c r="U24">
        <v>28546398</v>
      </c>
      <c r="V24" t="s">
        <v>1003</v>
      </c>
      <c r="W24" t="s">
        <v>41</v>
      </c>
      <c r="X24" t="s">
        <v>1003</v>
      </c>
      <c r="Y24" t="s">
        <v>1003</v>
      </c>
      <c r="Z24" t="s">
        <v>1003</v>
      </c>
      <c r="AA24">
        <v>3122911180</v>
      </c>
      <c r="AB24" t="s">
        <v>1003</v>
      </c>
    </row>
    <row r="25" spans="1:28" x14ac:dyDescent="0.25">
      <c r="A25">
        <v>435</v>
      </c>
      <c r="B25">
        <v>6555890</v>
      </c>
      <c r="C25">
        <v>500000</v>
      </c>
      <c r="D25">
        <v>2195000</v>
      </c>
      <c r="E25" t="s">
        <v>1004</v>
      </c>
      <c r="F25">
        <v>285350</v>
      </c>
      <c r="G25">
        <v>0.13</v>
      </c>
      <c r="H25" s="132">
        <v>44974</v>
      </c>
      <c r="I25" s="132">
        <v>45063</v>
      </c>
      <c r="J25" t="s">
        <v>641</v>
      </c>
      <c r="K25">
        <v>0</v>
      </c>
      <c r="L25" s="125"/>
      <c r="M25" t="s">
        <v>4</v>
      </c>
      <c r="N25" s="132">
        <v>44985</v>
      </c>
      <c r="O25" t="s">
        <v>1003</v>
      </c>
      <c r="R25" t="s">
        <v>989</v>
      </c>
      <c r="T25" t="s">
        <v>42</v>
      </c>
      <c r="U25">
        <v>6555890</v>
      </c>
      <c r="V25" t="s">
        <v>1003</v>
      </c>
      <c r="W25" t="s">
        <v>43</v>
      </c>
      <c r="X25" t="s">
        <v>1003</v>
      </c>
      <c r="Y25" t="s">
        <v>1003</v>
      </c>
      <c r="Z25" t="s">
        <v>1003</v>
      </c>
      <c r="AA25">
        <v>3227898121</v>
      </c>
      <c r="AB25" t="s">
        <v>1003</v>
      </c>
    </row>
    <row r="26" spans="1:28" x14ac:dyDescent="0.25">
      <c r="A26">
        <v>436</v>
      </c>
      <c r="B26">
        <v>31419074</v>
      </c>
      <c r="C26">
        <v>1000000</v>
      </c>
      <c r="D26">
        <v>2890000</v>
      </c>
      <c r="E26" t="s">
        <v>1008</v>
      </c>
      <c r="F26">
        <v>375700</v>
      </c>
      <c r="G26">
        <v>0.13</v>
      </c>
      <c r="H26" s="132">
        <v>44974</v>
      </c>
      <c r="I26" s="132">
        <v>45063</v>
      </c>
      <c r="J26" t="s">
        <v>641</v>
      </c>
      <c r="K26">
        <v>0</v>
      </c>
      <c r="L26" s="125"/>
      <c r="M26" t="s">
        <v>20</v>
      </c>
      <c r="N26" s="132">
        <v>45107</v>
      </c>
      <c r="O26" t="s">
        <v>1003</v>
      </c>
      <c r="R26" t="s">
        <v>989</v>
      </c>
      <c r="T26" t="s">
        <v>44</v>
      </c>
      <c r="U26">
        <v>31419074</v>
      </c>
      <c r="V26" t="s">
        <v>628</v>
      </c>
      <c r="W26" t="s">
        <v>931</v>
      </c>
      <c r="X26" t="s">
        <v>932</v>
      </c>
      <c r="Y26" t="s">
        <v>628</v>
      </c>
      <c r="Z26" t="s">
        <v>220</v>
      </c>
      <c r="AA26">
        <v>3137320922</v>
      </c>
      <c r="AB26" t="s">
        <v>1003</v>
      </c>
    </row>
    <row r="27" spans="1:28" x14ac:dyDescent="0.25">
      <c r="A27">
        <v>512</v>
      </c>
      <c r="B27">
        <v>31419074</v>
      </c>
      <c r="C27">
        <v>500000</v>
      </c>
      <c r="D27">
        <v>2195000</v>
      </c>
      <c r="E27" t="s">
        <v>1004</v>
      </c>
      <c r="F27">
        <v>285350</v>
      </c>
      <c r="G27">
        <v>0.13</v>
      </c>
      <c r="H27" s="132">
        <v>45162</v>
      </c>
      <c r="I27" s="132">
        <v>45254</v>
      </c>
      <c r="J27" t="s">
        <v>956</v>
      </c>
      <c r="K27">
        <v>0</v>
      </c>
      <c r="L27" s="125"/>
      <c r="M27" t="s">
        <v>1003</v>
      </c>
      <c r="N27" s="132" t="s">
        <v>1003</v>
      </c>
      <c r="O27" t="s">
        <v>936</v>
      </c>
      <c r="R27" t="s">
        <v>988</v>
      </c>
      <c r="T27" t="s">
        <v>44</v>
      </c>
      <c r="U27">
        <v>31419074</v>
      </c>
      <c r="V27" t="s">
        <v>628</v>
      </c>
      <c r="W27" t="s">
        <v>931</v>
      </c>
      <c r="X27" t="s">
        <v>932</v>
      </c>
      <c r="Y27" t="s">
        <v>628</v>
      </c>
      <c r="Z27" t="s">
        <v>220</v>
      </c>
      <c r="AA27">
        <v>3137320922</v>
      </c>
      <c r="AB27" t="s">
        <v>1003</v>
      </c>
    </row>
    <row r="28" spans="1:28" x14ac:dyDescent="0.25">
      <c r="A28">
        <v>439</v>
      </c>
      <c r="B28">
        <v>10240555</v>
      </c>
      <c r="C28">
        <v>2500000</v>
      </c>
      <c r="D28">
        <v>4975000</v>
      </c>
      <c r="E28" t="s">
        <v>1015</v>
      </c>
      <c r="F28">
        <v>646750</v>
      </c>
      <c r="G28">
        <v>0.13</v>
      </c>
      <c r="H28" s="132">
        <v>44979</v>
      </c>
      <c r="I28" s="132">
        <v>45068</v>
      </c>
      <c r="J28" t="s">
        <v>640</v>
      </c>
      <c r="K28">
        <v>0</v>
      </c>
      <c r="L28" s="125"/>
      <c r="M28" t="s">
        <v>4</v>
      </c>
      <c r="N28" s="132">
        <v>45007</v>
      </c>
      <c r="O28" t="s">
        <v>1003</v>
      </c>
      <c r="R28" t="s">
        <v>989</v>
      </c>
      <c r="T28" t="s">
        <v>79</v>
      </c>
      <c r="U28">
        <v>10240555</v>
      </c>
      <c r="V28" t="s">
        <v>80</v>
      </c>
      <c r="W28" t="s">
        <v>81</v>
      </c>
      <c r="X28" t="s">
        <v>1003</v>
      </c>
      <c r="Y28" t="s">
        <v>82</v>
      </c>
      <c r="Z28" t="s">
        <v>83</v>
      </c>
      <c r="AA28">
        <v>3137474756</v>
      </c>
      <c r="AB28" t="s">
        <v>84</v>
      </c>
    </row>
    <row r="29" spans="1:28" x14ac:dyDescent="0.25">
      <c r="A29">
        <v>440</v>
      </c>
      <c r="B29">
        <v>4509079</v>
      </c>
      <c r="C29">
        <v>500000</v>
      </c>
      <c r="D29">
        <v>2195000</v>
      </c>
      <c r="E29" t="s">
        <v>1004</v>
      </c>
      <c r="F29">
        <v>285350</v>
      </c>
      <c r="G29">
        <v>0.13</v>
      </c>
      <c r="H29" s="132">
        <v>44984</v>
      </c>
      <c r="I29" s="132">
        <v>45073</v>
      </c>
      <c r="J29" t="s">
        <v>641</v>
      </c>
      <c r="K29">
        <v>0</v>
      </c>
      <c r="L29" s="125"/>
      <c r="M29" t="s">
        <v>1003</v>
      </c>
      <c r="N29" s="132" t="s">
        <v>1003</v>
      </c>
      <c r="O29" t="s">
        <v>108</v>
      </c>
      <c r="R29" t="s">
        <v>989</v>
      </c>
      <c r="T29" t="s">
        <v>68</v>
      </c>
      <c r="U29">
        <v>4509079</v>
      </c>
      <c r="V29" t="s">
        <v>69</v>
      </c>
      <c r="W29" t="s">
        <v>70</v>
      </c>
      <c r="X29" t="s">
        <v>71</v>
      </c>
      <c r="Y29" t="s">
        <v>72</v>
      </c>
      <c r="Z29" t="s">
        <v>73</v>
      </c>
      <c r="AA29">
        <v>3153079491</v>
      </c>
      <c r="AB29" t="s">
        <v>74</v>
      </c>
    </row>
    <row r="30" spans="1:28" x14ac:dyDescent="0.25">
      <c r="A30">
        <v>478</v>
      </c>
      <c r="B30">
        <v>4509079</v>
      </c>
      <c r="C30">
        <v>350000</v>
      </c>
      <c r="D30">
        <v>1986500</v>
      </c>
      <c r="E30" t="s">
        <v>1016</v>
      </c>
      <c r="F30">
        <v>258245</v>
      </c>
      <c r="G30">
        <v>0.13</v>
      </c>
      <c r="H30" s="132">
        <v>45061</v>
      </c>
      <c r="I30" s="132">
        <v>45153</v>
      </c>
      <c r="J30" t="s">
        <v>641</v>
      </c>
      <c r="K30">
        <v>0</v>
      </c>
      <c r="L30" s="125"/>
      <c r="M30" t="s">
        <v>20</v>
      </c>
      <c r="N30" s="132">
        <v>45070</v>
      </c>
      <c r="O30" t="s">
        <v>1003</v>
      </c>
      <c r="R30" t="s">
        <v>989</v>
      </c>
      <c r="T30" t="s">
        <v>68</v>
      </c>
      <c r="U30">
        <v>4509079</v>
      </c>
      <c r="V30" t="s">
        <v>69</v>
      </c>
      <c r="W30" t="s">
        <v>70</v>
      </c>
      <c r="X30" t="s">
        <v>71</v>
      </c>
      <c r="Y30" t="s">
        <v>72</v>
      </c>
      <c r="Z30" t="s">
        <v>73</v>
      </c>
      <c r="AA30">
        <v>3153079491</v>
      </c>
      <c r="AB30" t="s">
        <v>74</v>
      </c>
    </row>
    <row r="31" spans="1:28" x14ac:dyDescent="0.25">
      <c r="A31">
        <v>441</v>
      </c>
      <c r="B31">
        <v>15957753</v>
      </c>
      <c r="C31">
        <v>2000000</v>
      </c>
      <c r="D31">
        <v>4280000</v>
      </c>
      <c r="E31" t="s">
        <v>1007</v>
      </c>
      <c r="F31">
        <v>556400</v>
      </c>
      <c r="G31">
        <v>0.13</v>
      </c>
      <c r="H31" s="132">
        <v>44986</v>
      </c>
      <c r="I31" s="132">
        <v>45078</v>
      </c>
      <c r="J31" t="s">
        <v>641</v>
      </c>
      <c r="K31">
        <v>0</v>
      </c>
      <c r="L31" s="125"/>
      <c r="M31" t="s">
        <v>4</v>
      </c>
      <c r="N31" s="132">
        <v>44998</v>
      </c>
      <c r="O31" t="s">
        <v>1003</v>
      </c>
      <c r="R31" t="s">
        <v>989</v>
      </c>
      <c r="T31" t="s">
        <v>85</v>
      </c>
      <c r="U31">
        <v>15957753</v>
      </c>
      <c r="V31" t="s">
        <v>86</v>
      </c>
      <c r="W31" t="s">
        <v>87</v>
      </c>
      <c r="X31" t="s">
        <v>88</v>
      </c>
      <c r="Y31" t="s">
        <v>89</v>
      </c>
      <c r="Z31" t="s">
        <v>73</v>
      </c>
      <c r="AA31">
        <v>3213163382</v>
      </c>
      <c r="AB31" t="s">
        <v>90</v>
      </c>
    </row>
    <row r="32" spans="1:28" x14ac:dyDescent="0.25">
      <c r="A32">
        <v>442</v>
      </c>
      <c r="B32">
        <v>10122618</v>
      </c>
      <c r="C32">
        <v>500000</v>
      </c>
      <c r="D32">
        <v>2195000</v>
      </c>
      <c r="E32" t="s">
        <v>1004</v>
      </c>
      <c r="F32">
        <v>285350</v>
      </c>
      <c r="G32">
        <v>0.13</v>
      </c>
      <c r="H32" s="132">
        <v>44986</v>
      </c>
      <c r="I32" s="132">
        <v>45078</v>
      </c>
      <c r="J32" t="s">
        <v>641</v>
      </c>
      <c r="K32">
        <v>0</v>
      </c>
      <c r="L32" s="125"/>
      <c r="M32" t="s">
        <v>4</v>
      </c>
      <c r="N32" s="132">
        <v>45008</v>
      </c>
      <c r="O32" t="s">
        <v>1003</v>
      </c>
      <c r="R32" t="s">
        <v>989</v>
      </c>
      <c r="T32" t="s">
        <v>91</v>
      </c>
      <c r="U32">
        <v>10122618</v>
      </c>
      <c r="V32" t="s">
        <v>72</v>
      </c>
      <c r="W32" t="s">
        <v>92</v>
      </c>
      <c r="X32" t="s">
        <v>93</v>
      </c>
      <c r="Y32" t="s">
        <v>89</v>
      </c>
      <c r="Z32" t="s">
        <v>73</v>
      </c>
      <c r="AA32">
        <v>3126876414</v>
      </c>
      <c r="AB32" t="s">
        <v>94</v>
      </c>
    </row>
    <row r="33" spans="1:28" x14ac:dyDescent="0.25">
      <c r="A33">
        <v>443</v>
      </c>
      <c r="B33">
        <v>10122618</v>
      </c>
      <c r="C33">
        <v>1000000</v>
      </c>
      <c r="D33">
        <v>2890000</v>
      </c>
      <c r="E33" t="s">
        <v>1008</v>
      </c>
      <c r="F33">
        <v>375700</v>
      </c>
      <c r="G33">
        <v>0.13</v>
      </c>
      <c r="H33" s="132">
        <v>44988</v>
      </c>
      <c r="I33" s="132">
        <v>45080</v>
      </c>
      <c r="J33" t="s">
        <v>641</v>
      </c>
      <c r="K33">
        <v>0</v>
      </c>
      <c r="L33" s="125"/>
      <c r="M33" t="s">
        <v>4</v>
      </c>
      <c r="N33" s="132">
        <v>45008</v>
      </c>
      <c r="O33" t="s">
        <v>1003</v>
      </c>
      <c r="R33" t="s">
        <v>989</v>
      </c>
      <c r="T33" t="s">
        <v>91</v>
      </c>
      <c r="U33">
        <v>10122618</v>
      </c>
      <c r="V33" t="s">
        <v>72</v>
      </c>
      <c r="W33" t="s">
        <v>92</v>
      </c>
      <c r="X33" t="s">
        <v>93</v>
      </c>
      <c r="Y33" t="s">
        <v>89</v>
      </c>
      <c r="Z33" t="s">
        <v>73</v>
      </c>
      <c r="AA33">
        <v>3126876414</v>
      </c>
      <c r="AB33" t="s">
        <v>94</v>
      </c>
    </row>
    <row r="34" spans="1:28" x14ac:dyDescent="0.25">
      <c r="A34">
        <v>454</v>
      </c>
      <c r="B34">
        <v>10122618</v>
      </c>
      <c r="C34">
        <v>100000</v>
      </c>
      <c r="D34">
        <v>1639000</v>
      </c>
      <c r="E34" t="s">
        <v>1017</v>
      </c>
      <c r="F34">
        <v>213070</v>
      </c>
      <c r="G34">
        <v>0</v>
      </c>
      <c r="H34" s="132"/>
      <c r="I34" s="132"/>
      <c r="J34">
        <v>0</v>
      </c>
      <c r="K34">
        <v>0</v>
      </c>
      <c r="L34" s="125"/>
      <c r="M34" t="s">
        <v>1003</v>
      </c>
      <c r="N34" s="132" t="s">
        <v>1003</v>
      </c>
      <c r="O34" t="s">
        <v>1003</v>
      </c>
      <c r="R34" t="s">
        <v>989</v>
      </c>
      <c r="T34" t="s">
        <v>91</v>
      </c>
      <c r="U34">
        <v>10122618</v>
      </c>
      <c r="V34" t="s">
        <v>72</v>
      </c>
      <c r="W34" t="s">
        <v>92</v>
      </c>
      <c r="X34" t="s">
        <v>93</v>
      </c>
      <c r="Y34" t="s">
        <v>89</v>
      </c>
      <c r="Z34" t="s">
        <v>73</v>
      </c>
      <c r="AA34">
        <v>3126876414</v>
      </c>
      <c r="AB34" t="s">
        <v>94</v>
      </c>
    </row>
    <row r="35" spans="1:28" x14ac:dyDescent="0.25">
      <c r="A35">
        <v>444</v>
      </c>
      <c r="B35">
        <v>18501536</v>
      </c>
      <c r="C35">
        <v>350000</v>
      </c>
      <c r="D35">
        <v>1986500</v>
      </c>
      <c r="E35" t="s">
        <v>1016</v>
      </c>
      <c r="F35">
        <v>258245</v>
      </c>
      <c r="G35">
        <v>0.13</v>
      </c>
      <c r="H35" s="132">
        <v>44995</v>
      </c>
      <c r="I35" s="132">
        <v>45087</v>
      </c>
      <c r="J35" t="s">
        <v>956</v>
      </c>
      <c r="K35">
        <v>0</v>
      </c>
      <c r="L35" s="125"/>
      <c r="M35" t="s">
        <v>396</v>
      </c>
      <c r="N35" s="132" t="s">
        <v>1003</v>
      </c>
      <c r="O35" t="s">
        <v>1003</v>
      </c>
      <c r="R35" t="s">
        <v>989</v>
      </c>
      <c r="T35" t="s">
        <v>95</v>
      </c>
      <c r="U35">
        <v>18501536</v>
      </c>
      <c r="V35" t="s">
        <v>89</v>
      </c>
      <c r="W35" t="s">
        <v>96</v>
      </c>
      <c r="X35" t="s">
        <v>97</v>
      </c>
      <c r="Y35" t="s">
        <v>72</v>
      </c>
      <c r="Z35" t="s">
        <v>73</v>
      </c>
      <c r="AA35">
        <v>3235274153</v>
      </c>
      <c r="AB35" t="s">
        <v>98</v>
      </c>
    </row>
    <row r="36" spans="1:28" x14ac:dyDescent="0.25">
      <c r="A36">
        <v>445</v>
      </c>
      <c r="B36">
        <v>84009805</v>
      </c>
      <c r="C36">
        <v>1000000</v>
      </c>
      <c r="D36">
        <v>2890000</v>
      </c>
      <c r="E36" t="s">
        <v>1008</v>
      </c>
      <c r="F36">
        <v>375700</v>
      </c>
      <c r="G36">
        <v>0.13</v>
      </c>
      <c r="H36" s="132">
        <v>44996</v>
      </c>
      <c r="I36" s="132">
        <v>45088</v>
      </c>
      <c r="J36" t="s">
        <v>641</v>
      </c>
      <c r="K36">
        <v>0</v>
      </c>
      <c r="L36" s="125"/>
      <c r="M36" t="s">
        <v>1003</v>
      </c>
      <c r="N36" s="132" t="s">
        <v>1003</v>
      </c>
      <c r="O36" t="s">
        <v>1003</v>
      </c>
      <c r="R36" t="s">
        <v>989</v>
      </c>
      <c r="T36" t="s">
        <v>99</v>
      </c>
      <c r="U36">
        <v>84009805</v>
      </c>
      <c r="V36" t="s">
        <v>100</v>
      </c>
      <c r="W36" t="s">
        <v>101</v>
      </c>
      <c r="X36" t="s">
        <v>102</v>
      </c>
      <c r="Y36" t="s">
        <v>100</v>
      </c>
      <c r="Z36" t="s">
        <v>103</v>
      </c>
      <c r="AA36">
        <v>3104609448</v>
      </c>
      <c r="AB36" t="s">
        <v>104</v>
      </c>
    </row>
    <row r="37" spans="1:28" x14ac:dyDescent="0.25">
      <c r="A37" t="s">
        <v>570</v>
      </c>
      <c r="B37">
        <v>10106423</v>
      </c>
      <c r="C37">
        <v>8000000</v>
      </c>
      <c r="D37">
        <v>12620000</v>
      </c>
      <c r="E37" t="s">
        <v>1018</v>
      </c>
      <c r="F37">
        <v>1640600</v>
      </c>
      <c r="G37">
        <v>0.13</v>
      </c>
      <c r="H37" s="132">
        <v>44996</v>
      </c>
      <c r="I37" s="132">
        <v>45088</v>
      </c>
      <c r="J37" t="s">
        <v>956</v>
      </c>
      <c r="K37">
        <v>0</v>
      </c>
      <c r="L37" s="125"/>
      <c r="M37" t="s">
        <v>1003</v>
      </c>
      <c r="N37" s="132" t="s">
        <v>1003</v>
      </c>
      <c r="O37" t="s">
        <v>553</v>
      </c>
      <c r="R37" t="s">
        <v>989</v>
      </c>
      <c r="T37" t="s">
        <v>461</v>
      </c>
      <c r="U37">
        <v>10106423</v>
      </c>
      <c r="V37" t="s">
        <v>72</v>
      </c>
      <c r="W37" t="s">
        <v>571</v>
      </c>
      <c r="X37" t="s">
        <v>463</v>
      </c>
      <c r="Y37" t="s">
        <v>72</v>
      </c>
      <c r="Z37" t="s">
        <v>73</v>
      </c>
      <c r="AA37">
        <v>3108930471</v>
      </c>
      <c r="AB37" t="s">
        <v>572</v>
      </c>
    </row>
    <row r="38" spans="1:28" x14ac:dyDescent="0.25">
      <c r="A38">
        <v>486</v>
      </c>
      <c r="B38">
        <v>10106423</v>
      </c>
      <c r="C38">
        <v>700000</v>
      </c>
      <c r="D38">
        <v>2473000</v>
      </c>
      <c r="E38" t="s">
        <v>1013</v>
      </c>
      <c r="F38">
        <v>321490</v>
      </c>
      <c r="G38">
        <v>0.13</v>
      </c>
      <c r="H38" s="132">
        <v>45079</v>
      </c>
      <c r="I38" s="132">
        <v>45171</v>
      </c>
      <c r="J38" t="s">
        <v>956</v>
      </c>
      <c r="K38">
        <v>0</v>
      </c>
      <c r="L38" s="125"/>
      <c r="M38" t="s">
        <v>20</v>
      </c>
      <c r="N38" s="132">
        <v>45114</v>
      </c>
      <c r="O38" t="s">
        <v>1003</v>
      </c>
      <c r="R38" t="s">
        <v>989</v>
      </c>
      <c r="T38" t="s">
        <v>461</v>
      </c>
      <c r="U38">
        <v>10106423</v>
      </c>
      <c r="V38" t="s">
        <v>72</v>
      </c>
      <c r="W38" t="s">
        <v>571</v>
      </c>
      <c r="X38" t="s">
        <v>463</v>
      </c>
      <c r="Y38" t="s">
        <v>72</v>
      </c>
      <c r="Z38" t="s">
        <v>73</v>
      </c>
      <c r="AA38">
        <v>3108930471</v>
      </c>
      <c r="AB38" t="s">
        <v>572</v>
      </c>
    </row>
    <row r="39" spans="1:28" x14ac:dyDescent="0.25">
      <c r="A39">
        <v>446</v>
      </c>
      <c r="B39">
        <v>10078414</v>
      </c>
      <c r="C39">
        <v>1000000</v>
      </c>
      <c r="D39">
        <v>2890000</v>
      </c>
      <c r="E39" t="s">
        <v>1008</v>
      </c>
      <c r="F39">
        <v>375700</v>
      </c>
      <c r="G39">
        <v>0.13</v>
      </c>
      <c r="H39" s="132">
        <v>44998</v>
      </c>
      <c r="I39" s="132">
        <v>45090</v>
      </c>
      <c r="J39" t="s">
        <v>641</v>
      </c>
      <c r="K39">
        <v>0</v>
      </c>
      <c r="L39" s="125"/>
      <c r="M39" t="s">
        <v>4</v>
      </c>
      <c r="N39" s="132">
        <v>45009</v>
      </c>
      <c r="O39" t="s">
        <v>1003</v>
      </c>
      <c r="R39" t="s">
        <v>989</v>
      </c>
      <c r="T39" t="s">
        <v>105</v>
      </c>
      <c r="U39">
        <v>10078414</v>
      </c>
      <c r="V39" t="s">
        <v>72</v>
      </c>
      <c r="W39" t="s">
        <v>106</v>
      </c>
      <c r="X39" t="s">
        <v>107</v>
      </c>
      <c r="Y39" t="s">
        <v>72</v>
      </c>
      <c r="Z39" t="s">
        <v>73</v>
      </c>
      <c r="AA39">
        <v>3147799367</v>
      </c>
      <c r="AB39" t="s">
        <v>1003</v>
      </c>
    </row>
    <row r="40" spans="1:28" x14ac:dyDescent="0.25">
      <c r="A40">
        <v>447</v>
      </c>
      <c r="B40">
        <v>5756175</v>
      </c>
      <c r="C40">
        <v>1155000</v>
      </c>
      <c r="D40">
        <v>3105450</v>
      </c>
      <c r="E40" t="s">
        <v>1019</v>
      </c>
      <c r="F40">
        <v>403708.5</v>
      </c>
      <c r="G40">
        <v>0.13</v>
      </c>
      <c r="H40" s="132">
        <v>45000</v>
      </c>
      <c r="I40" s="132">
        <v>45092</v>
      </c>
      <c r="J40" t="s">
        <v>956</v>
      </c>
      <c r="K40">
        <v>0</v>
      </c>
      <c r="L40" s="125"/>
      <c r="M40" t="s">
        <v>1003</v>
      </c>
      <c r="N40" s="132" t="s">
        <v>1003</v>
      </c>
      <c r="O40" t="s">
        <v>1003</v>
      </c>
      <c r="R40" t="s">
        <v>989</v>
      </c>
      <c r="T40" t="s">
        <v>109</v>
      </c>
      <c r="U40">
        <v>5756175</v>
      </c>
      <c r="V40" t="s">
        <v>110</v>
      </c>
      <c r="W40" t="s">
        <v>111</v>
      </c>
      <c r="X40" t="s">
        <v>112</v>
      </c>
      <c r="Y40" t="s">
        <v>72</v>
      </c>
      <c r="Z40" t="s">
        <v>73</v>
      </c>
      <c r="AA40">
        <v>3226012060</v>
      </c>
      <c r="AB40" t="s">
        <v>196</v>
      </c>
    </row>
    <row r="41" spans="1:28" x14ac:dyDescent="0.25">
      <c r="A41">
        <v>448</v>
      </c>
      <c r="B41">
        <v>7521602</v>
      </c>
      <c r="C41">
        <v>242000</v>
      </c>
      <c r="D41">
        <v>1836380</v>
      </c>
      <c r="E41" t="s">
        <v>1020</v>
      </c>
      <c r="F41">
        <v>238729.4</v>
      </c>
      <c r="G41">
        <v>0.13</v>
      </c>
      <c r="H41" s="132">
        <v>45000</v>
      </c>
      <c r="I41" s="132">
        <v>45092</v>
      </c>
      <c r="J41" t="s">
        <v>956</v>
      </c>
      <c r="K41">
        <v>0</v>
      </c>
      <c r="L41" s="125"/>
      <c r="M41" t="s">
        <v>1003</v>
      </c>
      <c r="N41" s="132" t="s">
        <v>1003</v>
      </c>
      <c r="O41" t="s">
        <v>1003</v>
      </c>
      <c r="R41" t="s">
        <v>989</v>
      </c>
      <c r="T41" t="s">
        <v>113</v>
      </c>
      <c r="U41">
        <v>7521602</v>
      </c>
      <c r="V41" t="s">
        <v>114</v>
      </c>
      <c r="W41" t="s">
        <v>115</v>
      </c>
      <c r="X41" t="s">
        <v>116</v>
      </c>
      <c r="Y41" t="s">
        <v>72</v>
      </c>
      <c r="Z41" t="s">
        <v>73</v>
      </c>
      <c r="AA41">
        <v>3206263924</v>
      </c>
      <c r="AB41" t="s">
        <v>197</v>
      </c>
    </row>
    <row r="42" spans="1:28" x14ac:dyDescent="0.25">
      <c r="A42">
        <v>455</v>
      </c>
      <c r="B42">
        <v>7521602</v>
      </c>
      <c r="C42">
        <v>400000</v>
      </c>
      <c r="D42">
        <v>2056000</v>
      </c>
      <c r="E42" t="s">
        <v>1009</v>
      </c>
      <c r="F42">
        <v>267280</v>
      </c>
      <c r="G42">
        <v>0.13</v>
      </c>
      <c r="H42" s="132">
        <v>45013</v>
      </c>
      <c r="I42" s="132">
        <v>45105</v>
      </c>
      <c r="J42" t="s">
        <v>641</v>
      </c>
      <c r="K42">
        <v>0</v>
      </c>
      <c r="L42" s="125"/>
      <c r="M42" t="s">
        <v>1003</v>
      </c>
      <c r="N42" s="132" t="s">
        <v>1003</v>
      </c>
      <c r="O42" t="s">
        <v>1003</v>
      </c>
      <c r="R42" t="s">
        <v>989</v>
      </c>
      <c r="T42" t="s">
        <v>113</v>
      </c>
      <c r="U42">
        <v>7521602</v>
      </c>
      <c r="V42" t="s">
        <v>114</v>
      </c>
      <c r="W42" t="s">
        <v>115</v>
      </c>
      <c r="X42" t="s">
        <v>116</v>
      </c>
      <c r="Y42" t="s">
        <v>72</v>
      </c>
      <c r="Z42" t="s">
        <v>73</v>
      </c>
      <c r="AA42">
        <v>3206263924</v>
      </c>
      <c r="AB42" t="s">
        <v>197</v>
      </c>
    </row>
    <row r="43" spans="1:28" x14ac:dyDescent="0.25">
      <c r="A43">
        <v>464</v>
      </c>
      <c r="B43">
        <v>7521602</v>
      </c>
      <c r="C43">
        <v>100000</v>
      </c>
      <c r="D43">
        <v>1639000</v>
      </c>
      <c r="E43" t="s">
        <v>1017</v>
      </c>
      <c r="F43">
        <v>213070</v>
      </c>
      <c r="G43">
        <v>0.13</v>
      </c>
      <c r="H43" s="132">
        <v>45035</v>
      </c>
      <c r="I43" s="132">
        <v>45126</v>
      </c>
      <c r="J43" t="s">
        <v>641</v>
      </c>
      <c r="K43">
        <v>0</v>
      </c>
      <c r="L43" s="125"/>
      <c r="M43" t="s">
        <v>1003</v>
      </c>
      <c r="N43" s="132" t="s">
        <v>1003</v>
      </c>
      <c r="O43" t="s">
        <v>1003</v>
      </c>
      <c r="R43" t="s">
        <v>989</v>
      </c>
      <c r="T43" t="s">
        <v>113</v>
      </c>
      <c r="U43">
        <v>7521602</v>
      </c>
      <c r="V43" t="s">
        <v>114</v>
      </c>
      <c r="W43" t="s">
        <v>115</v>
      </c>
      <c r="X43" t="s">
        <v>116</v>
      </c>
      <c r="Y43" t="s">
        <v>72</v>
      </c>
      <c r="Z43" t="s">
        <v>73</v>
      </c>
      <c r="AA43">
        <v>3206263924</v>
      </c>
      <c r="AB43" t="s">
        <v>197</v>
      </c>
    </row>
    <row r="44" spans="1:28" x14ac:dyDescent="0.25">
      <c r="A44">
        <v>449</v>
      </c>
      <c r="B44">
        <v>1088353324</v>
      </c>
      <c r="C44">
        <v>1200000</v>
      </c>
      <c r="D44">
        <v>3168000</v>
      </c>
      <c r="E44" t="s">
        <v>1021</v>
      </c>
      <c r="F44">
        <v>411840</v>
      </c>
      <c r="G44">
        <v>0.13</v>
      </c>
      <c r="H44" s="132">
        <v>45001</v>
      </c>
      <c r="I44" s="132">
        <v>45093</v>
      </c>
      <c r="J44" t="s">
        <v>956</v>
      </c>
      <c r="K44">
        <v>0</v>
      </c>
      <c r="L44" s="125"/>
      <c r="M44" t="s">
        <v>1003</v>
      </c>
      <c r="N44" s="132" t="s">
        <v>1003</v>
      </c>
      <c r="O44" t="s">
        <v>1003</v>
      </c>
      <c r="R44" t="s">
        <v>989</v>
      </c>
      <c r="T44" t="s">
        <v>193</v>
      </c>
      <c r="U44">
        <v>1088353324</v>
      </c>
      <c r="V44" t="s">
        <v>72</v>
      </c>
      <c r="W44" t="s">
        <v>194</v>
      </c>
      <c r="X44" t="s">
        <v>195</v>
      </c>
      <c r="Y44" t="s">
        <v>72</v>
      </c>
      <c r="Z44" t="s">
        <v>73</v>
      </c>
      <c r="AA44">
        <v>3145587208</v>
      </c>
      <c r="AB44" t="s">
        <v>198</v>
      </c>
    </row>
    <row r="45" spans="1:28" x14ac:dyDescent="0.25">
      <c r="A45">
        <v>450</v>
      </c>
      <c r="B45">
        <v>4730425</v>
      </c>
      <c r="C45">
        <v>1000000</v>
      </c>
      <c r="D45">
        <v>2890000</v>
      </c>
      <c r="E45" t="s">
        <v>1008</v>
      </c>
      <c r="F45">
        <v>375700</v>
      </c>
      <c r="G45">
        <v>0.13</v>
      </c>
      <c r="H45" s="132">
        <v>45002</v>
      </c>
      <c r="I45" s="132">
        <v>45094</v>
      </c>
      <c r="J45" t="s">
        <v>641</v>
      </c>
      <c r="K45">
        <v>0</v>
      </c>
      <c r="L45" s="125"/>
      <c r="M45" t="s">
        <v>4</v>
      </c>
      <c r="N45" s="132">
        <v>45009</v>
      </c>
      <c r="O45" t="s">
        <v>1003</v>
      </c>
      <c r="R45" t="s">
        <v>989</v>
      </c>
      <c r="T45" t="s">
        <v>203</v>
      </c>
      <c r="U45">
        <v>4730425</v>
      </c>
      <c r="V45" t="s">
        <v>204</v>
      </c>
      <c r="W45" t="s">
        <v>205</v>
      </c>
      <c r="X45" t="s">
        <v>206</v>
      </c>
      <c r="Y45" t="s">
        <v>72</v>
      </c>
      <c r="Z45" t="s">
        <v>73</v>
      </c>
      <c r="AA45">
        <v>3224075993</v>
      </c>
      <c r="AB45" t="s">
        <v>207</v>
      </c>
    </row>
    <row r="46" spans="1:28" x14ac:dyDescent="0.25">
      <c r="A46">
        <v>452</v>
      </c>
      <c r="B46">
        <v>22196486</v>
      </c>
      <c r="C46">
        <v>500000</v>
      </c>
      <c r="D46">
        <v>2195000</v>
      </c>
      <c r="E46" t="s">
        <v>1004</v>
      </c>
      <c r="F46">
        <v>285350</v>
      </c>
      <c r="G46">
        <v>0.13</v>
      </c>
      <c r="H46" s="132">
        <v>45002</v>
      </c>
      <c r="I46" s="132">
        <v>45094</v>
      </c>
      <c r="J46" t="s">
        <v>641</v>
      </c>
      <c r="K46">
        <v>0</v>
      </c>
      <c r="L46" s="125"/>
      <c r="M46" t="s">
        <v>4</v>
      </c>
      <c r="N46" s="132">
        <v>45009</v>
      </c>
      <c r="O46" t="s">
        <v>1003</v>
      </c>
      <c r="R46" t="s">
        <v>989</v>
      </c>
      <c r="T46" t="s">
        <v>212</v>
      </c>
      <c r="U46">
        <v>22196486</v>
      </c>
      <c r="V46" t="s">
        <v>213</v>
      </c>
      <c r="W46" t="s">
        <v>214</v>
      </c>
      <c r="X46" t="s">
        <v>206</v>
      </c>
      <c r="Y46" t="s">
        <v>72</v>
      </c>
      <c r="Z46" t="s">
        <v>73</v>
      </c>
      <c r="AA46">
        <v>3217631671</v>
      </c>
      <c r="AB46" t="s">
        <v>215</v>
      </c>
    </row>
    <row r="47" spans="1:28" x14ac:dyDescent="0.25">
      <c r="A47">
        <v>416</v>
      </c>
      <c r="B47">
        <v>22196486</v>
      </c>
      <c r="C47">
        <v>6000000</v>
      </c>
      <c r="D47">
        <v>9840000</v>
      </c>
      <c r="E47" t="s">
        <v>1022</v>
      </c>
      <c r="F47">
        <v>1279200</v>
      </c>
      <c r="G47">
        <v>0.13</v>
      </c>
      <c r="H47" s="132">
        <v>45033</v>
      </c>
      <c r="I47" s="132">
        <v>45124</v>
      </c>
      <c r="J47" t="s">
        <v>641</v>
      </c>
      <c r="K47">
        <v>0</v>
      </c>
      <c r="L47" s="125"/>
      <c r="M47" t="s">
        <v>1003</v>
      </c>
      <c r="N47" s="132" t="s">
        <v>1003</v>
      </c>
      <c r="O47" t="s">
        <v>1003</v>
      </c>
      <c r="R47" t="s">
        <v>989</v>
      </c>
      <c r="T47" t="s">
        <v>212</v>
      </c>
      <c r="U47">
        <v>22196486</v>
      </c>
      <c r="V47" t="s">
        <v>213</v>
      </c>
      <c r="W47" t="s">
        <v>214</v>
      </c>
      <c r="X47" t="s">
        <v>206</v>
      </c>
      <c r="Y47" t="s">
        <v>72</v>
      </c>
      <c r="Z47" t="s">
        <v>73</v>
      </c>
      <c r="AA47">
        <v>3217631671</v>
      </c>
      <c r="AB47" t="s">
        <v>215</v>
      </c>
    </row>
    <row r="48" spans="1:28" x14ac:dyDescent="0.25">
      <c r="A48">
        <v>453</v>
      </c>
      <c r="B48">
        <v>6285978</v>
      </c>
      <c r="C48">
        <v>500000</v>
      </c>
      <c r="D48">
        <v>2195000</v>
      </c>
      <c r="E48" t="s">
        <v>1004</v>
      </c>
      <c r="F48">
        <v>285350</v>
      </c>
      <c r="G48">
        <v>0.13</v>
      </c>
      <c r="H48" s="132">
        <v>45003</v>
      </c>
      <c r="I48" s="132">
        <v>45095</v>
      </c>
      <c r="J48" t="s">
        <v>641</v>
      </c>
      <c r="K48">
        <v>150000</v>
      </c>
      <c r="L48" s="125">
        <v>45111</v>
      </c>
      <c r="M48" t="s">
        <v>1003</v>
      </c>
      <c r="N48" s="132" t="s">
        <v>1003</v>
      </c>
      <c r="O48" t="s">
        <v>1003</v>
      </c>
      <c r="R48" t="s">
        <v>989</v>
      </c>
      <c r="T48" t="s">
        <v>216</v>
      </c>
      <c r="U48">
        <v>6285978</v>
      </c>
      <c r="V48" t="s">
        <v>217</v>
      </c>
      <c r="W48" t="s">
        <v>218</v>
      </c>
      <c r="X48" t="s">
        <v>219</v>
      </c>
      <c r="Y48" t="s">
        <v>217</v>
      </c>
      <c r="Z48" t="s">
        <v>220</v>
      </c>
      <c r="AA48">
        <v>3136747705</v>
      </c>
      <c r="AB48" t="s">
        <v>223</v>
      </c>
    </row>
    <row r="49" spans="1:28" x14ac:dyDescent="0.25">
      <c r="A49">
        <v>509</v>
      </c>
      <c r="B49">
        <v>1087994842</v>
      </c>
      <c r="C49">
        <v>4560000</v>
      </c>
      <c r="D49">
        <v>7838400</v>
      </c>
      <c r="E49" t="s">
        <v>1023</v>
      </c>
      <c r="F49">
        <v>1018992</v>
      </c>
      <c r="G49">
        <v>0.13</v>
      </c>
      <c r="H49" s="132">
        <v>45209</v>
      </c>
      <c r="I49" s="132">
        <v>45301</v>
      </c>
      <c r="J49" t="s">
        <v>641</v>
      </c>
      <c r="K49">
        <v>0</v>
      </c>
      <c r="L49" s="125"/>
      <c r="M49" t="s">
        <v>1003</v>
      </c>
      <c r="N49" s="132" t="s">
        <v>1003</v>
      </c>
      <c r="O49" t="s">
        <v>1003</v>
      </c>
      <c r="R49" t="s">
        <v>988</v>
      </c>
      <c r="T49" t="s">
        <v>224</v>
      </c>
      <c r="U49">
        <v>1087994842</v>
      </c>
      <c r="V49" t="s">
        <v>89</v>
      </c>
      <c r="W49" t="s">
        <v>230</v>
      </c>
      <c r="X49" t="s">
        <v>229</v>
      </c>
      <c r="Y49" t="s">
        <v>72</v>
      </c>
      <c r="Z49" t="s">
        <v>73</v>
      </c>
      <c r="AA49">
        <v>3023016277</v>
      </c>
      <c r="AB49" t="s">
        <v>231</v>
      </c>
    </row>
    <row r="50" spans="1:28" x14ac:dyDescent="0.25">
      <c r="A50">
        <v>456</v>
      </c>
      <c r="B50">
        <v>1037584477</v>
      </c>
      <c r="C50">
        <v>6000000</v>
      </c>
      <c r="D50">
        <v>9840000</v>
      </c>
      <c r="E50" t="s">
        <v>1022</v>
      </c>
      <c r="F50">
        <v>1279200</v>
      </c>
      <c r="G50">
        <v>0.13</v>
      </c>
      <c r="H50" s="132">
        <v>45013</v>
      </c>
      <c r="I50" s="132">
        <v>45105</v>
      </c>
      <c r="J50" t="s">
        <v>956</v>
      </c>
      <c r="K50">
        <v>0</v>
      </c>
      <c r="L50" s="125"/>
      <c r="M50" t="s">
        <v>365</v>
      </c>
      <c r="N50" s="132">
        <v>45038</v>
      </c>
      <c r="O50" t="s">
        <v>366</v>
      </c>
      <c r="R50" t="s">
        <v>989</v>
      </c>
      <c r="T50" t="s">
        <v>279</v>
      </c>
      <c r="U50">
        <v>1037584477</v>
      </c>
      <c r="V50" t="s">
        <v>280</v>
      </c>
      <c r="W50" t="s">
        <v>283</v>
      </c>
      <c r="X50" t="s">
        <v>284</v>
      </c>
      <c r="Y50" t="s">
        <v>72</v>
      </c>
      <c r="Z50" t="s">
        <v>73</v>
      </c>
      <c r="AA50">
        <v>3005363030</v>
      </c>
      <c r="AB50" t="s">
        <v>285</v>
      </c>
    </row>
    <row r="51" spans="1:28" x14ac:dyDescent="0.25">
      <c r="A51">
        <v>457</v>
      </c>
      <c r="B51">
        <v>10071470</v>
      </c>
      <c r="C51">
        <v>4000000</v>
      </c>
      <c r="D51">
        <v>7060000</v>
      </c>
      <c r="E51" t="s">
        <v>1024</v>
      </c>
      <c r="F51">
        <v>917800</v>
      </c>
      <c r="G51">
        <v>0.13</v>
      </c>
      <c r="H51" s="132">
        <v>45015</v>
      </c>
      <c r="I51" s="132">
        <v>45107</v>
      </c>
      <c r="J51" t="s">
        <v>641</v>
      </c>
      <c r="K51">
        <v>0</v>
      </c>
      <c r="L51" s="125"/>
      <c r="M51" t="s">
        <v>4</v>
      </c>
      <c r="N51" s="132">
        <v>45029</v>
      </c>
      <c r="O51" t="s">
        <v>1003</v>
      </c>
      <c r="R51" t="s">
        <v>989</v>
      </c>
      <c r="T51" t="s">
        <v>274</v>
      </c>
      <c r="U51">
        <v>10071470</v>
      </c>
      <c r="V51" t="s">
        <v>72</v>
      </c>
      <c r="W51" t="s">
        <v>291</v>
      </c>
      <c r="X51" t="s">
        <v>292</v>
      </c>
      <c r="Y51" t="s">
        <v>89</v>
      </c>
      <c r="Z51" t="s">
        <v>73</v>
      </c>
      <c r="AA51">
        <v>3014843322</v>
      </c>
      <c r="AB51" t="s">
        <v>286</v>
      </c>
    </row>
    <row r="52" spans="1:28" x14ac:dyDescent="0.25">
      <c r="A52">
        <v>459</v>
      </c>
      <c r="B52">
        <v>42090888</v>
      </c>
      <c r="C52">
        <v>350000</v>
      </c>
      <c r="D52">
        <v>1986500</v>
      </c>
      <c r="E52" t="s">
        <v>1016</v>
      </c>
      <c r="F52">
        <v>258245</v>
      </c>
      <c r="G52">
        <v>0.13</v>
      </c>
      <c r="H52" s="132">
        <v>45016</v>
      </c>
      <c r="I52" s="132">
        <v>45108</v>
      </c>
      <c r="J52" t="s">
        <v>641</v>
      </c>
      <c r="K52">
        <v>0</v>
      </c>
      <c r="L52" s="125"/>
      <c r="M52" t="s">
        <v>20</v>
      </c>
      <c r="N52" s="132">
        <v>45050</v>
      </c>
      <c r="O52" t="s">
        <v>1003</v>
      </c>
      <c r="R52" t="s">
        <v>989</v>
      </c>
      <c r="T52" t="s">
        <v>297</v>
      </c>
      <c r="U52">
        <v>42090888</v>
      </c>
      <c r="V52" t="s">
        <v>72</v>
      </c>
      <c r="W52" t="s">
        <v>298</v>
      </c>
      <c r="X52" t="s">
        <v>299</v>
      </c>
      <c r="Y52" t="s">
        <v>72</v>
      </c>
      <c r="Z52" t="s">
        <v>73</v>
      </c>
      <c r="AA52">
        <v>3128772642</v>
      </c>
      <c r="AB52" t="s">
        <v>215</v>
      </c>
    </row>
    <row r="53" spans="1:28" x14ac:dyDescent="0.25">
      <c r="A53">
        <v>510</v>
      </c>
      <c r="B53">
        <v>1107083239</v>
      </c>
      <c r="C53">
        <v>2000000</v>
      </c>
      <c r="D53">
        <v>4280000</v>
      </c>
      <c r="E53" t="s">
        <v>1007</v>
      </c>
      <c r="F53">
        <v>556400</v>
      </c>
      <c r="G53">
        <v>0.13</v>
      </c>
      <c r="H53" s="132">
        <v>45050</v>
      </c>
      <c r="I53" s="132">
        <v>45142</v>
      </c>
      <c r="J53" t="s">
        <v>956</v>
      </c>
      <c r="K53">
        <v>350000</v>
      </c>
      <c r="L53" s="125">
        <v>45153</v>
      </c>
      <c r="M53" t="s">
        <v>539</v>
      </c>
      <c r="N53" s="132" t="s">
        <v>1003</v>
      </c>
      <c r="O53" t="s">
        <v>1003</v>
      </c>
      <c r="P53" t="s">
        <v>964</v>
      </c>
      <c r="Q53">
        <v>29063030</v>
      </c>
      <c r="R53" t="s">
        <v>989</v>
      </c>
      <c r="T53" t="s">
        <v>300</v>
      </c>
      <c r="U53">
        <v>1107083239</v>
      </c>
      <c r="V53" t="s">
        <v>301</v>
      </c>
      <c r="W53" t="s">
        <v>302</v>
      </c>
      <c r="X53" t="s">
        <v>303</v>
      </c>
      <c r="Y53" t="s">
        <v>72</v>
      </c>
      <c r="Z53" t="s">
        <v>73</v>
      </c>
      <c r="AA53">
        <v>3105343799</v>
      </c>
      <c r="AB53" t="s">
        <v>304</v>
      </c>
    </row>
    <row r="54" spans="1:28" x14ac:dyDescent="0.25">
      <c r="A54">
        <v>511</v>
      </c>
      <c r="B54">
        <v>29063030</v>
      </c>
      <c r="C54">
        <v>2000000</v>
      </c>
      <c r="D54">
        <v>4280000</v>
      </c>
      <c r="E54" t="s">
        <v>1007</v>
      </c>
      <c r="F54">
        <v>556400</v>
      </c>
      <c r="G54">
        <v>0.13</v>
      </c>
      <c r="H54" s="132">
        <v>45019</v>
      </c>
      <c r="I54" s="132">
        <v>45110</v>
      </c>
      <c r="J54" t="s">
        <v>956</v>
      </c>
      <c r="K54">
        <v>0</v>
      </c>
      <c r="L54" s="125"/>
      <c r="M54" t="s">
        <v>1003</v>
      </c>
      <c r="N54" s="132" t="s">
        <v>1003</v>
      </c>
      <c r="O54" t="s">
        <v>1003</v>
      </c>
      <c r="R54" t="s">
        <v>989</v>
      </c>
      <c r="T54" t="s">
        <v>307</v>
      </c>
      <c r="U54">
        <v>29063030</v>
      </c>
      <c r="V54" t="s">
        <v>301</v>
      </c>
      <c r="W54" t="s">
        <v>308</v>
      </c>
      <c r="X54" t="s">
        <v>309</v>
      </c>
      <c r="Y54" t="s">
        <v>301</v>
      </c>
      <c r="Z54" t="s">
        <v>220</v>
      </c>
      <c r="AA54">
        <v>3168409928</v>
      </c>
      <c r="AB54" t="s">
        <v>304</v>
      </c>
    </row>
    <row r="55" spans="1:28" x14ac:dyDescent="0.25">
      <c r="A55">
        <v>461</v>
      </c>
      <c r="B55">
        <v>10081308</v>
      </c>
      <c r="C55">
        <v>5000000</v>
      </c>
      <c r="D55">
        <v>8450000</v>
      </c>
      <c r="E55" t="s">
        <v>1014</v>
      </c>
      <c r="F55">
        <v>1098500</v>
      </c>
      <c r="G55">
        <v>0.13</v>
      </c>
      <c r="H55" s="132">
        <v>45019</v>
      </c>
      <c r="I55" s="132">
        <v>45110</v>
      </c>
      <c r="J55" t="s">
        <v>641</v>
      </c>
      <c r="K55">
        <v>0</v>
      </c>
      <c r="L55" s="125"/>
      <c r="M55" t="s">
        <v>4</v>
      </c>
      <c r="N55" s="132">
        <v>45048</v>
      </c>
      <c r="O55" t="s">
        <v>375</v>
      </c>
      <c r="R55" t="s">
        <v>989</v>
      </c>
      <c r="T55" t="s">
        <v>311</v>
      </c>
      <c r="U55">
        <v>10081308</v>
      </c>
      <c r="V55" t="s">
        <v>72</v>
      </c>
      <c r="W55" t="s">
        <v>312</v>
      </c>
      <c r="X55" t="s">
        <v>313</v>
      </c>
      <c r="Y55" t="s">
        <v>72</v>
      </c>
      <c r="Z55" t="s">
        <v>73</v>
      </c>
      <c r="AA55">
        <v>3215592020</v>
      </c>
      <c r="AB55" t="s">
        <v>314</v>
      </c>
    </row>
    <row r="56" spans="1:28" x14ac:dyDescent="0.25">
      <c r="A56">
        <v>462</v>
      </c>
      <c r="B56">
        <v>10532530</v>
      </c>
      <c r="C56">
        <v>400000</v>
      </c>
      <c r="D56">
        <v>2056000</v>
      </c>
      <c r="E56" t="s">
        <v>1009</v>
      </c>
      <c r="F56">
        <v>267280</v>
      </c>
      <c r="G56">
        <v>0.13</v>
      </c>
      <c r="H56" s="132">
        <v>45034</v>
      </c>
      <c r="I56" s="132">
        <v>45125</v>
      </c>
      <c r="J56" t="s">
        <v>641</v>
      </c>
      <c r="K56">
        <v>0</v>
      </c>
      <c r="L56" s="125"/>
      <c r="M56" t="s">
        <v>1003</v>
      </c>
      <c r="N56" s="132" t="s">
        <v>1003</v>
      </c>
      <c r="O56" t="s">
        <v>1003</v>
      </c>
      <c r="R56" t="s">
        <v>989</v>
      </c>
      <c r="T56" t="s">
        <v>328</v>
      </c>
      <c r="U56">
        <v>10532530</v>
      </c>
      <c r="V56" t="s">
        <v>72</v>
      </c>
      <c r="W56" t="s">
        <v>329</v>
      </c>
      <c r="X56" t="s">
        <v>330</v>
      </c>
      <c r="Y56" t="s">
        <v>217</v>
      </c>
      <c r="Z56" t="s">
        <v>220</v>
      </c>
      <c r="AA56">
        <v>3152645900</v>
      </c>
      <c r="AB56" t="s">
        <v>1003</v>
      </c>
    </row>
    <row r="57" spans="1:28" x14ac:dyDescent="0.25">
      <c r="A57" t="s">
        <v>618</v>
      </c>
      <c r="B57">
        <v>10532530</v>
      </c>
      <c r="C57">
        <v>5000000</v>
      </c>
      <c r="D57">
        <v>8450000</v>
      </c>
      <c r="E57" t="s">
        <v>1014</v>
      </c>
      <c r="F57">
        <v>1098500</v>
      </c>
      <c r="G57">
        <v>0.13</v>
      </c>
      <c r="H57" s="132">
        <v>45002</v>
      </c>
      <c r="I57" s="132">
        <v>45094</v>
      </c>
      <c r="J57" t="s">
        <v>641</v>
      </c>
      <c r="K57">
        <v>0</v>
      </c>
      <c r="L57" s="125"/>
      <c r="M57" t="s">
        <v>1003</v>
      </c>
      <c r="N57" s="132" t="s">
        <v>1003</v>
      </c>
      <c r="O57" t="s">
        <v>553</v>
      </c>
      <c r="R57" t="s">
        <v>989</v>
      </c>
      <c r="T57" t="s">
        <v>328</v>
      </c>
      <c r="U57">
        <v>10532530</v>
      </c>
      <c r="V57" t="s">
        <v>72</v>
      </c>
      <c r="W57" t="s">
        <v>329</v>
      </c>
      <c r="X57" t="s">
        <v>330</v>
      </c>
      <c r="Y57" t="s">
        <v>217</v>
      </c>
      <c r="Z57" t="s">
        <v>220</v>
      </c>
      <c r="AA57">
        <v>3152645900</v>
      </c>
      <c r="AB57" t="s">
        <v>1003</v>
      </c>
    </row>
    <row r="58" spans="1:28" x14ac:dyDescent="0.25">
      <c r="A58">
        <v>463</v>
      </c>
      <c r="B58">
        <v>29770801</v>
      </c>
      <c r="C58">
        <v>2000000</v>
      </c>
      <c r="D58">
        <v>4280000</v>
      </c>
      <c r="E58" t="s">
        <v>1007</v>
      </c>
      <c r="F58">
        <v>556400</v>
      </c>
      <c r="G58">
        <v>0.13</v>
      </c>
      <c r="H58" s="132">
        <v>45034</v>
      </c>
      <c r="I58" s="132">
        <v>45125</v>
      </c>
      <c r="J58" t="s">
        <v>641</v>
      </c>
      <c r="K58">
        <v>0</v>
      </c>
      <c r="L58" s="125"/>
      <c r="M58" t="s">
        <v>4</v>
      </c>
      <c r="N58" s="132">
        <v>45090</v>
      </c>
      <c r="O58" t="s">
        <v>1003</v>
      </c>
      <c r="R58" t="s">
        <v>989</v>
      </c>
      <c r="T58" t="s">
        <v>319</v>
      </c>
      <c r="U58">
        <v>29770801</v>
      </c>
      <c r="V58" t="s">
        <v>320</v>
      </c>
      <c r="W58" t="s">
        <v>321</v>
      </c>
      <c r="X58" t="s">
        <v>322</v>
      </c>
      <c r="Y58" t="s">
        <v>320</v>
      </c>
      <c r="Z58" t="s">
        <v>220</v>
      </c>
      <c r="AA58">
        <v>3177350102</v>
      </c>
      <c r="AB58" t="s">
        <v>323</v>
      </c>
    </row>
    <row r="59" spans="1:28" x14ac:dyDescent="0.25">
      <c r="A59">
        <v>470</v>
      </c>
      <c r="B59">
        <v>29770801</v>
      </c>
      <c r="C59">
        <v>5000000</v>
      </c>
      <c r="D59">
        <v>8450000</v>
      </c>
      <c r="E59" t="s">
        <v>1014</v>
      </c>
      <c r="F59">
        <v>1098500</v>
      </c>
      <c r="G59">
        <v>0.13</v>
      </c>
      <c r="H59" s="132">
        <v>45043</v>
      </c>
      <c r="I59" s="132">
        <v>45134</v>
      </c>
      <c r="J59" t="s">
        <v>640</v>
      </c>
      <c r="K59">
        <v>0</v>
      </c>
      <c r="L59" s="125"/>
      <c r="M59" t="s">
        <v>4</v>
      </c>
      <c r="N59" s="132">
        <v>45090</v>
      </c>
      <c r="O59" t="s">
        <v>1003</v>
      </c>
      <c r="R59" t="s">
        <v>989</v>
      </c>
      <c r="T59" t="s">
        <v>319</v>
      </c>
      <c r="U59">
        <v>29770801</v>
      </c>
      <c r="V59" t="s">
        <v>320</v>
      </c>
      <c r="W59" t="s">
        <v>321</v>
      </c>
      <c r="X59" t="s">
        <v>322</v>
      </c>
      <c r="Y59" t="s">
        <v>320</v>
      </c>
      <c r="Z59" t="s">
        <v>220</v>
      </c>
      <c r="AA59">
        <v>3177350102</v>
      </c>
      <c r="AB59" t="s">
        <v>323</v>
      </c>
    </row>
    <row r="60" spans="1:28" x14ac:dyDescent="0.25">
      <c r="A60">
        <v>465</v>
      </c>
      <c r="B60">
        <v>1414863</v>
      </c>
      <c r="C60">
        <v>500000</v>
      </c>
      <c r="D60">
        <v>2195000</v>
      </c>
      <c r="E60" t="s">
        <v>1004</v>
      </c>
      <c r="F60">
        <v>285350</v>
      </c>
      <c r="G60">
        <v>0.13</v>
      </c>
      <c r="H60" s="132">
        <v>45037</v>
      </c>
      <c r="I60" s="132">
        <v>45128</v>
      </c>
      <c r="J60" t="s">
        <v>641</v>
      </c>
      <c r="K60">
        <v>0</v>
      </c>
      <c r="L60" s="125"/>
      <c r="M60" t="s">
        <v>20</v>
      </c>
      <c r="N60" s="132">
        <v>45106</v>
      </c>
      <c r="O60" t="s">
        <v>1003</v>
      </c>
      <c r="R60" t="s">
        <v>989</v>
      </c>
      <c r="T60" t="s">
        <v>331</v>
      </c>
      <c r="U60">
        <v>1414863</v>
      </c>
      <c r="V60" t="s">
        <v>82</v>
      </c>
      <c r="W60" t="s">
        <v>332</v>
      </c>
      <c r="X60" t="s">
        <v>333</v>
      </c>
      <c r="Y60" t="s">
        <v>72</v>
      </c>
      <c r="Z60" t="s">
        <v>73</v>
      </c>
      <c r="AA60">
        <v>3225532680</v>
      </c>
      <c r="AB60" t="s">
        <v>334</v>
      </c>
    </row>
    <row r="61" spans="1:28" x14ac:dyDescent="0.25">
      <c r="A61">
        <v>492</v>
      </c>
      <c r="B61">
        <v>1414863</v>
      </c>
      <c r="C61">
        <v>300000</v>
      </c>
      <c r="D61">
        <v>1917000</v>
      </c>
      <c r="E61" t="s">
        <v>1005</v>
      </c>
      <c r="F61">
        <v>249210</v>
      </c>
      <c r="G61">
        <v>0.13</v>
      </c>
      <c r="H61" s="132">
        <v>45097</v>
      </c>
      <c r="I61" s="132">
        <v>45189</v>
      </c>
      <c r="J61" t="s">
        <v>641</v>
      </c>
      <c r="K61">
        <v>0</v>
      </c>
      <c r="L61" s="125"/>
      <c r="M61" t="s">
        <v>20</v>
      </c>
      <c r="N61" s="132">
        <v>45106</v>
      </c>
      <c r="O61" t="s">
        <v>554</v>
      </c>
      <c r="R61" t="s">
        <v>988</v>
      </c>
      <c r="T61" t="s">
        <v>331</v>
      </c>
      <c r="U61">
        <v>1414863</v>
      </c>
      <c r="V61" t="s">
        <v>82</v>
      </c>
      <c r="W61" t="s">
        <v>332</v>
      </c>
      <c r="X61" t="s">
        <v>333</v>
      </c>
      <c r="Y61" t="s">
        <v>72</v>
      </c>
      <c r="Z61" t="s">
        <v>73</v>
      </c>
      <c r="AA61">
        <v>3225532680</v>
      </c>
      <c r="AB61" t="s">
        <v>334</v>
      </c>
    </row>
    <row r="62" spans="1:28" x14ac:dyDescent="0.25">
      <c r="A62">
        <v>466</v>
      </c>
      <c r="B62">
        <v>94463760</v>
      </c>
      <c r="C62">
        <v>20000000</v>
      </c>
      <c r="D62">
        <v>29300000</v>
      </c>
      <c r="E62" t="s">
        <v>1025</v>
      </c>
      <c r="F62">
        <v>3809000</v>
      </c>
      <c r="G62">
        <v>0.15</v>
      </c>
      <c r="H62" s="132">
        <v>45040</v>
      </c>
      <c r="I62" s="132">
        <v>45131</v>
      </c>
      <c r="J62" t="s">
        <v>640</v>
      </c>
      <c r="K62">
        <v>0</v>
      </c>
      <c r="L62" s="125"/>
      <c r="M62" t="s">
        <v>1003</v>
      </c>
      <c r="N62" s="132" t="s">
        <v>1003</v>
      </c>
      <c r="O62" t="s">
        <v>363</v>
      </c>
      <c r="R62" t="s">
        <v>989</v>
      </c>
      <c r="T62" t="s">
        <v>337</v>
      </c>
      <c r="U62">
        <v>94463760</v>
      </c>
      <c r="V62" t="s">
        <v>339</v>
      </c>
      <c r="W62" t="s">
        <v>340</v>
      </c>
      <c r="X62" t="s">
        <v>1003</v>
      </c>
      <c r="Y62" t="s">
        <v>72</v>
      </c>
      <c r="Z62" t="s">
        <v>73</v>
      </c>
      <c r="AA62">
        <v>3138092666</v>
      </c>
      <c r="AB62" t="s">
        <v>338</v>
      </c>
    </row>
    <row r="63" spans="1:28" x14ac:dyDescent="0.25">
      <c r="A63">
        <v>467</v>
      </c>
      <c r="B63">
        <v>1005094186</v>
      </c>
      <c r="C63">
        <v>3000000</v>
      </c>
      <c r="D63">
        <v>5670000</v>
      </c>
      <c r="E63" t="s">
        <v>1026</v>
      </c>
      <c r="F63">
        <v>737100</v>
      </c>
      <c r="G63">
        <v>6.5000000000000002E-2</v>
      </c>
      <c r="H63" s="132">
        <v>45040</v>
      </c>
      <c r="I63" s="132">
        <v>45131</v>
      </c>
      <c r="J63" t="s">
        <v>956</v>
      </c>
      <c r="K63">
        <v>0</v>
      </c>
      <c r="L63" s="125"/>
      <c r="M63" t="s">
        <v>1003</v>
      </c>
      <c r="N63" s="132" t="s">
        <v>1003</v>
      </c>
      <c r="O63" t="s">
        <v>363</v>
      </c>
      <c r="R63" t="s">
        <v>989</v>
      </c>
      <c r="T63" t="s">
        <v>343</v>
      </c>
      <c r="U63">
        <v>1005094186</v>
      </c>
      <c r="V63" t="s">
        <v>114</v>
      </c>
      <c r="W63" t="s">
        <v>344</v>
      </c>
      <c r="X63" t="s">
        <v>345</v>
      </c>
      <c r="Y63" t="s">
        <v>72</v>
      </c>
      <c r="Z63" t="s">
        <v>73</v>
      </c>
      <c r="AA63">
        <v>3135283921</v>
      </c>
      <c r="AB63" t="s">
        <v>346</v>
      </c>
    </row>
    <row r="64" spans="1:28" x14ac:dyDescent="0.25">
      <c r="A64">
        <v>468</v>
      </c>
      <c r="B64">
        <v>10135450</v>
      </c>
      <c r="C64">
        <v>3000000</v>
      </c>
      <c r="D64">
        <v>5670000</v>
      </c>
      <c r="E64" t="s">
        <v>1026</v>
      </c>
      <c r="F64">
        <v>737100</v>
      </c>
      <c r="G64">
        <v>6.5000000000000002E-2</v>
      </c>
      <c r="H64" s="132">
        <v>45040</v>
      </c>
      <c r="I64" s="132">
        <v>45131</v>
      </c>
      <c r="J64" t="s">
        <v>956</v>
      </c>
      <c r="K64">
        <v>0</v>
      </c>
      <c r="L64" s="125"/>
      <c r="M64" t="s">
        <v>1003</v>
      </c>
      <c r="N64" s="132" t="s">
        <v>392</v>
      </c>
      <c r="O64" t="s">
        <v>1003</v>
      </c>
      <c r="R64" t="s">
        <v>989</v>
      </c>
      <c r="T64" t="s">
        <v>349</v>
      </c>
      <c r="U64">
        <v>10135450</v>
      </c>
      <c r="V64" t="s">
        <v>350</v>
      </c>
      <c r="W64" t="s">
        <v>351</v>
      </c>
      <c r="X64" t="s">
        <v>352</v>
      </c>
      <c r="Y64" t="s">
        <v>72</v>
      </c>
      <c r="Z64" t="s">
        <v>73</v>
      </c>
      <c r="AA64">
        <v>3116009902</v>
      </c>
      <c r="AB64" t="s">
        <v>353</v>
      </c>
    </row>
    <row r="65" spans="1:28" x14ac:dyDescent="0.25">
      <c r="A65">
        <v>469</v>
      </c>
      <c r="B65">
        <v>10069872</v>
      </c>
      <c r="C65">
        <v>500000</v>
      </c>
      <c r="D65">
        <v>2195000</v>
      </c>
      <c r="E65" t="s">
        <v>1004</v>
      </c>
      <c r="F65">
        <v>285350</v>
      </c>
      <c r="G65">
        <v>0.13</v>
      </c>
      <c r="H65" s="132">
        <v>45041</v>
      </c>
      <c r="I65" s="132">
        <v>45132</v>
      </c>
      <c r="J65" t="s">
        <v>362</v>
      </c>
      <c r="K65">
        <v>630000</v>
      </c>
      <c r="L65" s="125">
        <v>45112</v>
      </c>
      <c r="M65" t="s">
        <v>20</v>
      </c>
      <c r="N65" s="132">
        <v>45112</v>
      </c>
      <c r="O65" t="s">
        <v>364</v>
      </c>
      <c r="R65" t="s">
        <v>989</v>
      </c>
      <c r="T65" t="s">
        <v>356</v>
      </c>
      <c r="U65">
        <v>10069872</v>
      </c>
      <c r="V65" t="s">
        <v>72</v>
      </c>
      <c r="W65" t="s">
        <v>357</v>
      </c>
      <c r="X65" t="s">
        <v>358</v>
      </c>
      <c r="Y65" t="s">
        <v>72</v>
      </c>
      <c r="Z65" t="s">
        <v>73</v>
      </c>
      <c r="AA65">
        <v>3234922685</v>
      </c>
      <c r="AB65" t="s">
        <v>359</v>
      </c>
    </row>
    <row r="66" spans="1:28" x14ac:dyDescent="0.25">
      <c r="A66">
        <v>471</v>
      </c>
      <c r="B66">
        <v>10083610</v>
      </c>
      <c r="C66">
        <v>500000</v>
      </c>
      <c r="D66">
        <v>2195000</v>
      </c>
      <c r="E66" t="s">
        <v>1004</v>
      </c>
      <c r="F66">
        <v>285350</v>
      </c>
      <c r="G66">
        <v>0.13</v>
      </c>
      <c r="H66" s="132">
        <v>45048</v>
      </c>
      <c r="I66" s="132">
        <v>45140</v>
      </c>
      <c r="J66" t="s">
        <v>641</v>
      </c>
      <c r="K66">
        <v>0</v>
      </c>
      <c r="L66" s="125"/>
      <c r="M66" t="s">
        <v>1003</v>
      </c>
      <c r="N66" s="132" t="s">
        <v>1003</v>
      </c>
      <c r="O66" t="s">
        <v>1003</v>
      </c>
      <c r="R66" t="s">
        <v>989</v>
      </c>
      <c r="T66" t="s">
        <v>369</v>
      </c>
      <c r="U66">
        <v>10083610</v>
      </c>
      <c r="V66" t="s">
        <v>72</v>
      </c>
      <c r="W66" t="s">
        <v>370</v>
      </c>
      <c r="X66" t="s">
        <v>371</v>
      </c>
      <c r="Y66" t="s">
        <v>72</v>
      </c>
      <c r="Z66" t="s">
        <v>73</v>
      </c>
      <c r="AA66">
        <v>3001390815</v>
      </c>
      <c r="AB66" t="s">
        <v>372</v>
      </c>
    </row>
    <row r="67" spans="1:28" x14ac:dyDescent="0.25">
      <c r="A67">
        <v>475</v>
      </c>
      <c r="B67">
        <v>10083610</v>
      </c>
      <c r="C67">
        <v>1000000</v>
      </c>
      <c r="D67">
        <v>2890000</v>
      </c>
      <c r="E67" t="s">
        <v>1008</v>
      </c>
      <c r="F67">
        <v>375700</v>
      </c>
      <c r="G67">
        <v>0.13</v>
      </c>
      <c r="H67" s="132">
        <v>45055</v>
      </c>
      <c r="I67" s="132">
        <v>45147</v>
      </c>
      <c r="J67" t="s">
        <v>641</v>
      </c>
      <c r="K67">
        <v>0</v>
      </c>
      <c r="L67" s="125"/>
      <c r="M67" t="s">
        <v>1003</v>
      </c>
      <c r="N67" s="132" t="s">
        <v>1003</v>
      </c>
      <c r="O67" t="s">
        <v>1003</v>
      </c>
      <c r="R67" t="s">
        <v>989</v>
      </c>
      <c r="T67" t="s">
        <v>369</v>
      </c>
      <c r="U67">
        <v>10083610</v>
      </c>
      <c r="V67" t="s">
        <v>72</v>
      </c>
      <c r="W67" t="s">
        <v>370</v>
      </c>
      <c r="X67" t="s">
        <v>371</v>
      </c>
      <c r="Y67" t="s">
        <v>72</v>
      </c>
      <c r="Z67" t="s">
        <v>73</v>
      </c>
      <c r="AA67">
        <v>3001390815</v>
      </c>
      <c r="AB67" t="s">
        <v>372</v>
      </c>
    </row>
    <row r="68" spans="1:28" x14ac:dyDescent="0.25">
      <c r="A68">
        <v>472</v>
      </c>
      <c r="B68">
        <v>29770026</v>
      </c>
      <c r="C68">
        <v>1000000</v>
      </c>
      <c r="D68">
        <v>2890000</v>
      </c>
      <c r="E68" t="s">
        <v>1008</v>
      </c>
      <c r="F68">
        <v>375700</v>
      </c>
      <c r="G68">
        <v>0.13</v>
      </c>
      <c r="H68" s="132">
        <v>45049</v>
      </c>
      <c r="I68" s="132">
        <v>45141</v>
      </c>
      <c r="J68" t="s">
        <v>641</v>
      </c>
      <c r="K68">
        <v>0</v>
      </c>
      <c r="L68" s="125"/>
      <c r="M68" t="s">
        <v>20</v>
      </c>
      <c r="N68" s="132">
        <v>45057</v>
      </c>
      <c r="O68" t="s">
        <v>1003</v>
      </c>
      <c r="R68" t="s">
        <v>989</v>
      </c>
      <c r="T68" t="s">
        <v>376</v>
      </c>
      <c r="U68">
        <v>29770026</v>
      </c>
      <c r="V68" t="s">
        <v>320</v>
      </c>
      <c r="W68" t="s">
        <v>377</v>
      </c>
      <c r="X68" t="s">
        <v>378</v>
      </c>
      <c r="Y68" t="s">
        <v>320</v>
      </c>
      <c r="Z68" t="s">
        <v>220</v>
      </c>
      <c r="AA68">
        <v>3205616016</v>
      </c>
      <c r="AB68" t="s">
        <v>380</v>
      </c>
    </row>
    <row r="69" spans="1:28" x14ac:dyDescent="0.25">
      <c r="A69">
        <v>473</v>
      </c>
      <c r="B69">
        <v>10240812</v>
      </c>
      <c r="C69">
        <v>1000000</v>
      </c>
      <c r="D69">
        <v>2890000</v>
      </c>
      <c r="E69" t="s">
        <v>1008</v>
      </c>
      <c r="F69">
        <v>375700</v>
      </c>
      <c r="G69">
        <v>0.13</v>
      </c>
      <c r="H69" s="132">
        <v>45051</v>
      </c>
      <c r="I69" s="132">
        <v>45143</v>
      </c>
      <c r="J69" t="s">
        <v>641</v>
      </c>
      <c r="K69">
        <v>0</v>
      </c>
      <c r="L69" s="125"/>
      <c r="M69" t="s">
        <v>1003</v>
      </c>
      <c r="N69" s="132" t="s">
        <v>1003</v>
      </c>
      <c r="O69" t="s">
        <v>386</v>
      </c>
      <c r="R69" t="s">
        <v>989</v>
      </c>
      <c r="T69" t="s">
        <v>381</v>
      </c>
      <c r="U69">
        <v>10240812</v>
      </c>
      <c r="V69" t="s">
        <v>80</v>
      </c>
      <c r="W69" t="s">
        <v>382</v>
      </c>
      <c r="X69" t="s">
        <v>1003</v>
      </c>
      <c r="Y69" t="s">
        <v>383</v>
      </c>
      <c r="Z69" t="s">
        <v>83</v>
      </c>
      <c r="AA69">
        <v>3156376273</v>
      </c>
      <c r="AB69" t="s">
        <v>384</v>
      </c>
    </row>
    <row r="70" spans="1:28" x14ac:dyDescent="0.25">
      <c r="A70">
        <v>488</v>
      </c>
      <c r="B70">
        <v>10240812</v>
      </c>
      <c r="C70">
        <v>1000000</v>
      </c>
      <c r="D70">
        <v>2890000</v>
      </c>
      <c r="E70" t="s">
        <v>1008</v>
      </c>
      <c r="F70">
        <v>375700</v>
      </c>
      <c r="G70">
        <v>0.13</v>
      </c>
      <c r="H70" s="132">
        <v>45085</v>
      </c>
      <c r="I70" s="132">
        <v>45177</v>
      </c>
      <c r="J70" t="s">
        <v>641</v>
      </c>
      <c r="K70">
        <v>0</v>
      </c>
      <c r="L70" s="125"/>
      <c r="M70" t="s">
        <v>1003</v>
      </c>
      <c r="N70" s="132" t="s">
        <v>1003</v>
      </c>
      <c r="O70" t="s">
        <v>386</v>
      </c>
      <c r="R70" t="s">
        <v>989</v>
      </c>
      <c r="T70" t="s">
        <v>381</v>
      </c>
      <c r="U70">
        <v>10240812</v>
      </c>
      <c r="V70" t="s">
        <v>80</v>
      </c>
      <c r="W70" t="s">
        <v>382</v>
      </c>
      <c r="X70" t="s">
        <v>1003</v>
      </c>
      <c r="Y70" t="s">
        <v>383</v>
      </c>
      <c r="Z70" t="s">
        <v>83</v>
      </c>
      <c r="AA70">
        <v>3156376273</v>
      </c>
      <c r="AB70" t="s">
        <v>384</v>
      </c>
    </row>
    <row r="71" spans="1:28" x14ac:dyDescent="0.25">
      <c r="A71">
        <v>474</v>
      </c>
      <c r="B71">
        <v>42028846</v>
      </c>
      <c r="C71">
        <v>2000000</v>
      </c>
      <c r="D71">
        <v>4280000</v>
      </c>
      <c r="E71" t="s">
        <v>1007</v>
      </c>
      <c r="F71">
        <v>556400</v>
      </c>
      <c r="G71">
        <v>6.5000000000000002E-2</v>
      </c>
      <c r="H71" s="132">
        <v>45051</v>
      </c>
      <c r="I71" s="132">
        <v>45143</v>
      </c>
      <c r="J71" t="s">
        <v>956</v>
      </c>
      <c r="K71">
        <v>0</v>
      </c>
      <c r="L71" s="125"/>
      <c r="M71" t="s">
        <v>1003</v>
      </c>
      <c r="N71" s="132" t="s">
        <v>1003</v>
      </c>
      <c r="O71" t="s">
        <v>391</v>
      </c>
      <c r="R71" t="s">
        <v>989</v>
      </c>
      <c r="T71" t="s">
        <v>393</v>
      </c>
      <c r="U71">
        <v>42028846</v>
      </c>
      <c r="V71" t="s">
        <v>387</v>
      </c>
      <c r="W71" t="s">
        <v>388</v>
      </c>
      <c r="X71" t="s">
        <v>389</v>
      </c>
      <c r="Y71" t="s">
        <v>72</v>
      </c>
      <c r="Z71" t="s">
        <v>73</v>
      </c>
      <c r="AA71">
        <v>3246244802</v>
      </c>
      <c r="AB71" t="s">
        <v>390</v>
      </c>
    </row>
    <row r="72" spans="1:28" x14ac:dyDescent="0.25">
      <c r="A72">
        <v>476</v>
      </c>
      <c r="B72">
        <v>42122299</v>
      </c>
      <c r="C72">
        <v>2000000</v>
      </c>
      <c r="D72">
        <v>4280000</v>
      </c>
      <c r="E72" t="s">
        <v>1007</v>
      </c>
      <c r="F72">
        <v>556400</v>
      </c>
      <c r="G72">
        <v>6.5000000000000002E-2</v>
      </c>
      <c r="H72" s="132">
        <v>45057</v>
      </c>
      <c r="I72" s="132">
        <v>45149</v>
      </c>
      <c r="J72" t="s">
        <v>956</v>
      </c>
      <c r="K72">
        <v>0</v>
      </c>
      <c r="L72" s="125"/>
      <c r="M72" t="s">
        <v>1003</v>
      </c>
      <c r="N72" s="132" t="s">
        <v>1003</v>
      </c>
      <c r="O72" t="s">
        <v>1003</v>
      </c>
      <c r="R72" t="s">
        <v>989</v>
      </c>
      <c r="T72" t="s">
        <v>397</v>
      </c>
      <c r="U72">
        <v>42122299</v>
      </c>
      <c r="V72" t="s">
        <v>72</v>
      </c>
      <c r="W72" t="s">
        <v>398</v>
      </c>
      <c r="X72" t="s">
        <v>399</v>
      </c>
      <c r="Y72" t="s">
        <v>72</v>
      </c>
      <c r="Z72" t="s">
        <v>73</v>
      </c>
      <c r="AA72">
        <v>3137478289</v>
      </c>
      <c r="AB72" t="s">
        <v>400</v>
      </c>
    </row>
    <row r="73" spans="1:28" x14ac:dyDescent="0.25">
      <c r="A73">
        <v>477</v>
      </c>
      <c r="B73">
        <v>28527446</v>
      </c>
      <c r="C73">
        <v>2000000</v>
      </c>
      <c r="D73">
        <v>4280000</v>
      </c>
      <c r="E73" t="s">
        <v>1007</v>
      </c>
      <c r="F73">
        <v>556400</v>
      </c>
      <c r="G73">
        <v>6.5000000000000002E-2</v>
      </c>
      <c r="H73" s="132">
        <v>45057</v>
      </c>
      <c r="I73" s="132">
        <v>45149</v>
      </c>
      <c r="J73" t="s">
        <v>956</v>
      </c>
      <c r="K73">
        <v>0</v>
      </c>
      <c r="L73" s="125"/>
      <c r="M73" t="s">
        <v>1003</v>
      </c>
      <c r="N73" s="132" t="s">
        <v>1003</v>
      </c>
      <c r="O73" t="s">
        <v>1003</v>
      </c>
      <c r="R73" t="s">
        <v>989</v>
      </c>
      <c r="T73" t="s">
        <v>403</v>
      </c>
      <c r="U73">
        <v>28527446</v>
      </c>
      <c r="V73" t="s">
        <v>404</v>
      </c>
      <c r="W73" t="s">
        <v>398</v>
      </c>
      <c r="X73" t="s">
        <v>399</v>
      </c>
      <c r="Y73" t="s">
        <v>72</v>
      </c>
      <c r="Z73" t="s">
        <v>73</v>
      </c>
      <c r="AA73">
        <v>3137490869</v>
      </c>
      <c r="AB73" t="s">
        <v>405</v>
      </c>
    </row>
    <row r="74" spans="1:28" x14ac:dyDescent="0.25">
      <c r="A74">
        <v>479</v>
      </c>
      <c r="B74">
        <v>42143697</v>
      </c>
      <c r="C74">
        <v>1500000</v>
      </c>
      <c r="D74">
        <v>3585000</v>
      </c>
      <c r="E74" t="s">
        <v>1006</v>
      </c>
      <c r="F74">
        <v>466050</v>
      </c>
      <c r="G74">
        <v>6.5000000000000002E-2</v>
      </c>
      <c r="H74" s="132">
        <v>45063</v>
      </c>
      <c r="I74" s="132">
        <v>45155</v>
      </c>
      <c r="J74" t="s">
        <v>956</v>
      </c>
      <c r="K74">
        <v>222500</v>
      </c>
      <c r="L74" s="125">
        <v>45169</v>
      </c>
      <c r="M74" t="s">
        <v>539</v>
      </c>
      <c r="N74" s="132" t="s">
        <v>1003</v>
      </c>
      <c r="O74" t="s">
        <v>1003</v>
      </c>
      <c r="R74" t="s">
        <v>989</v>
      </c>
      <c r="T74" t="s">
        <v>410</v>
      </c>
      <c r="U74">
        <v>42143697</v>
      </c>
      <c r="V74" t="s">
        <v>72</v>
      </c>
      <c r="W74" t="s">
        <v>411</v>
      </c>
      <c r="X74" t="s">
        <v>412</v>
      </c>
      <c r="Y74" t="s">
        <v>72</v>
      </c>
      <c r="Z74" t="s">
        <v>73</v>
      </c>
      <c r="AA74">
        <v>3127200926</v>
      </c>
      <c r="AB74" t="s">
        <v>413</v>
      </c>
    </row>
    <row r="75" spans="1:28" x14ac:dyDescent="0.25">
      <c r="A75" t="s">
        <v>638</v>
      </c>
      <c r="B75">
        <v>4350487</v>
      </c>
      <c r="C75">
        <v>10000000</v>
      </c>
      <c r="D75">
        <v>15400000</v>
      </c>
      <c r="E75" t="s">
        <v>1027</v>
      </c>
      <c r="F75">
        <v>2002000</v>
      </c>
      <c r="G75">
        <v>0.13</v>
      </c>
      <c r="H75" s="132">
        <v>44945</v>
      </c>
      <c r="I75" s="132">
        <v>45035</v>
      </c>
      <c r="J75" t="s">
        <v>956</v>
      </c>
      <c r="K75">
        <v>0</v>
      </c>
      <c r="L75" s="125"/>
      <c r="M75" t="s">
        <v>1003</v>
      </c>
      <c r="N75" s="132" t="s">
        <v>1003</v>
      </c>
      <c r="O75" t="s">
        <v>1003</v>
      </c>
      <c r="R75" t="s">
        <v>990</v>
      </c>
      <c r="S75">
        <v>1</v>
      </c>
      <c r="T75" t="s">
        <v>416</v>
      </c>
      <c r="U75">
        <v>4350487</v>
      </c>
      <c r="V75" t="s">
        <v>417</v>
      </c>
      <c r="W75" t="s">
        <v>419</v>
      </c>
      <c r="X75" t="s">
        <v>420</v>
      </c>
      <c r="Y75" t="s">
        <v>387</v>
      </c>
      <c r="Z75" t="s">
        <v>73</v>
      </c>
      <c r="AA75">
        <v>3116241504</v>
      </c>
      <c r="AB75" t="s">
        <v>421</v>
      </c>
    </row>
    <row r="76" spans="1:28" x14ac:dyDescent="0.25">
      <c r="A76">
        <v>481</v>
      </c>
      <c r="B76">
        <v>1089721086</v>
      </c>
      <c r="C76">
        <v>800000</v>
      </c>
      <c r="D76">
        <v>2612000</v>
      </c>
      <c r="E76" t="s">
        <v>1011</v>
      </c>
      <c r="F76">
        <v>339560</v>
      </c>
      <c r="G76">
        <v>0.13</v>
      </c>
      <c r="H76" s="132">
        <v>45069</v>
      </c>
      <c r="I76" s="132">
        <v>45161</v>
      </c>
      <c r="J76" t="s">
        <v>956</v>
      </c>
      <c r="K76">
        <v>0</v>
      </c>
      <c r="L76" s="125"/>
      <c r="M76" t="s">
        <v>20</v>
      </c>
      <c r="N76" s="132">
        <v>956000</v>
      </c>
      <c r="O76" t="s">
        <v>1003</v>
      </c>
      <c r="R76" t="s">
        <v>989</v>
      </c>
      <c r="T76" t="s">
        <v>426</v>
      </c>
      <c r="U76">
        <v>1089721086</v>
      </c>
      <c r="V76" t="s">
        <v>427</v>
      </c>
      <c r="W76" t="s">
        <v>428</v>
      </c>
      <c r="X76" t="s">
        <v>429</v>
      </c>
      <c r="Y76" t="s">
        <v>89</v>
      </c>
      <c r="Z76" t="s">
        <v>73</v>
      </c>
      <c r="AA76">
        <v>3229231452</v>
      </c>
      <c r="AB76" t="s">
        <v>430</v>
      </c>
    </row>
    <row r="77" spans="1:28" x14ac:dyDescent="0.25">
      <c r="A77">
        <v>482</v>
      </c>
      <c r="B77">
        <v>33819492</v>
      </c>
      <c r="C77">
        <v>17000000</v>
      </c>
      <c r="D77">
        <v>25130000</v>
      </c>
      <c r="E77" t="s">
        <v>1028</v>
      </c>
      <c r="F77">
        <v>3266900</v>
      </c>
      <c r="G77">
        <v>0.13</v>
      </c>
      <c r="H77" s="132">
        <v>45069</v>
      </c>
      <c r="I77" s="132">
        <v>45161</v>
      </c>
      <c r="J77" t="s">
        <v>640</v>
      </c>
      <c r="K77">
        <v>0</v>
      </c>
      <c r="L77" s="125"/>
      <c r="M77" t="s">
        <v>1003</v>
      </c>
      <c r="N77" s="132" t="s">
        <v>1003</v>
      </c>
      <c r="O77" t="s">
        <v>1003</v>
      </c>
      <c r="R77" t="s">
        <v>989</v>
      </c>
      <c r="T77" t="s">
        <v>433</v>
      </c>
      <c r="U77">
        <v>33819492</v>
      </c>
      <c r="V77" t="s">
        <v>434</v>
      </c>
      <c r="W77" t="s">
        <v>435</v>
      </c>
      <c r="X77" t="s">
        <v>436</v>
      </c>
      <c r="Y77" t="s">
        <v>434</v>
      </c>
      <c r="Z77" t="s">
        <v>437</v>
      </c>
      <c r="AA77">
        <v>3172351253</v>
      </c>
      <c r="AB77" t="s">
        <v>438</v>
      </c>
    </row>
    <row r="78" spans="1:28" x14ac:dyDescent="0.25">
      <c r="A78">
        <v>483</v>
      </c>
      <c r="B78">
        <v>42053061</v>
      </c>
      <c r="C78">
        <v>1500000</v>
      </c>
      <c r="D78">
        <v>3585000</v>
      </c>
      <c r="E78" t="s">
        <v>1006</v>
      </c>
      <c r="F78">
        <v>466050</v>
      </c>
      <c r="G78">
        <v>6.5000000000000002E-2</v>
      </c>
      <c r="H78" s="132">
        <v>45075</v>
      </c>
      <c r="I78" s="132">
        <v>45167</v>
      </c>
      <c r="J78" t="s">
        <v>956</v>
      </c>
      <c r="K78">
        <v>0</v>
      </c>
      <c r="L78" s="125"/>
      <c r="M78" t="s">
        <v>1003</v>
      </c>
      <c r="N78" s="132" t="s">
        <v>1003</v>
      </c>
      <c r="O78" t="s">
        <v>1003</v>
      </c>
      <c r="R78" t="s">
        <v>989</v>
      </c>
      <c r="T78" t="s">
        <v>443</v>
      </c>
      <c r="U78">
        <v>42053061</v>
      </c>
      <c r="V78" t="s">
        <v>72</v>
      </c>
      <c r="W78" t="s">
        <v>444</v>
      </c>
      <c r="X78" t="s">
        <v>412</v>
      </c>
      <c r="Y78" t="s">
        <v>72</v>
      </c>
      <c r="Z78" t="s">
        <v>73</v>
      </c>
      <c r="AA78">
        <v>3142979836</v>
      </c>
      <c r="AB78" t="s">
        <v>413</v>
      </c>
    </row>
    <row r="79" spans="1:28" x14ac:dyDescent="0.25">
      <c r="A79">
        <v>484</v>
      </c>
      <c r="B79">
        <v>10100068</v>
      </c>
      <c r="C79">
        <v>4000000</v>
      </c>
      <c r="D79">
        <v>7060000</v>
      </c>
      <c r="E79" t="s">
        <v>1024</v>
      </c>
      <c r="F79">
        <v>917800</v>
      </c>
      <c r="G79">
        <v>0.13</v>
      </c>
      <c r="H79" s="132">
        <v>45076</v>
      </c>
      <c r="I79" s="132">
        <v>45168</v>
      </c>
      <c r="J79" t="s">
        <v>956</v>
      </c>
      <c r="K79">
        <v>5560000</v>
      </c>
      <c r="L79" s="125">
        <v>45166</v>
      </c>
      <c r="M79" t="s">
        <v>1003</v>
      </c>
      <c r="N79" s="132" t="s">
        <v>1003</v>
      </c>
      <c r="O79" t="s">
        <v>454</v>
      </c>
      <c r="R79" t="s">
        <v>989</v>
      </c>
      <c r="T79" t="s">
        <v>449</v>
      </c>
      <c r="U79">
        <v>10100068</v>
      </c>
      <c r="V79" t="s">
        <v>72</v>
      </c>
      <c r="W79" t="s">
        <v>451</v>
      </c>
      <c r="X79" t="s">
        <v>450</v>
      </c>
      <c r="Y79" t="s">
        <v>72</v>
      </c>
      <c r="Z79" t="s">
        <v>73</v>
      </c>
      <c r="AA79">
        <v>3153332180</v>
      </c>
      <c r="AB79" t="s">
        <v>452</v>
      </c>
    </row>
    <row r="80" spans="1:28" x14ac:dyDescent="0.25">
      <c r="A80">
        <v>498</v>
      </c>
      <c r="B80">
        <v>10100068</v>
      </c>
      <c r="C80">
        <v>3000000</v>
      </c>
      <c r="D80">
        <v>5670000</v>
      </c>
      <c r="E80" t="s">
        <v>1026</v>
      </c>
      <c r="F80">
        <v>737100</v>
      </c>
      <c r="G80">
        <v>0.13</v>
      </c>
      <c r="H80" s="132">
        <v>45138</v>
      </c>
      <c r="I80" s="132">
        <v>45230</v>
      </c>
      <c r="J80" t="s">
        <v>956</v>
      </c>
      <c r="K80">
        <v>0</v>
      </c>
      <c r="L80" s="125"/>
      <c r="M80" t="s">
        <v>1003</v>
      </c>
      <c r="N80" s="132" t="s">
        <v>1003</v>
      </c>
      <c r="O80" t="s">
        <v>386</v>
      </c>
      <c r="R80" t="s">
        <v>988</v>
      </c>
      <c r="T80" t="s">
        <v>449</v>
      </c>
      <c r="U80">
        <v>10100068</v>
      </c>
      <c r="V80" t="s">
        <v>72</v>
      </c>
      <c r="W80" t="s">
        <v>451</v>
      </c>
      <c r="X80" t="s">
        <v>450</v>
      </c>
      <c r="Y80" t="s">
        <v>72</v>
      </c>
      <c r="Z80" t="s">
        <v>73</v>
      </c>
      <c r="AA80">
        <v>3153332180</v>
      </c>
      <c r="AB80" t="s">
        <v>452</v>
      </c>
    </row>
    <row r="81" spans="1:28" x14ac:dyDescent="0.25">
      <c r="A81">
        <v>485</v>
      </c>
      <c r="B81">
        <v>25056635</v>
      </c>
      <c r="C81">
        <v>700000</v>
      </c>
      <c r="D81">
        <v>2473000</v>
      </c>
      <c r="E81" t="s">
        <v>1013</v>
      </c>
      <c r="F81">
        <v>321490</v>
      </c>
      <c r="G81">
        <v>0.13</v>
      </c>
      <c r="H81" s="132">
        <v>45079</v>
      </c>
      <c r="I81" s="132">
        <v>45171</v>
      </c>
      <c r="J81" t="s">
        <v>956</v>
      </c>
      <c r="K81">
        <v>0</v>
      </c>
      <c r="L81" s="125"/>
      <c r="M81" t="s">
        <v>1003</v>
      </c>
      <c r="N81" s="132" t="s">
        <v>1003</v>
      </c>
      <c r="O81" t="s">
        <v>386</v>
      </c>
      <c r="R81" t="s">
        <v>989</v>
      </c>
      <c r="T81" t="s">
        <v>455</v>
      </c>
      <c r="U81">
        <v>25056635</v>
      </c>
      <c r="V81" t="s">
        <v>456</v>
      </c>
      <c r="W81" t="s">
        <v>458</v>
      </c>
      <c r="X81" t="s">
        <v>459</v>
      </c>
      <c r="Y81" t="s">
        <v>72</v>
      </c>
      <c r="Z81" t="s">
        <v>73</v>
      </c>
      <c r="AA81">
        <v>3144045290</v>
      </c>
      <c r="AB81" t="s">
        <v>460</v>
      </c>
    </row>
    <row r="82" spans="1:28" x14ac:dyDescent="0.25">
      <c r="A82">
        <v>487</v>
      </c>
      <c r="B82">
        <v>94227972</v>
      </c>
      <c r="C82">
        <v>1000000</v>
      </c>
      <c r="D82">
        <v>2890000</v>
      </c>
      <c r="E82" t="s">
        <v>1008</v>
      </c>
      <c r="F82">
        <v>375700</v>
      </c>
      <c r="G82">
        <v>0.13</v>
      </c>
      <c r="H82" s="132">
        <v>45084</v>
      </c>
      <c r="I82" s="132">
        <v>45176</v>
      </c>
      <c r="J82" t="s">
        <v>641</v>
      </c>
      <c r="K82">
        <v>0</v>
      </c>
      <c r="L82" s="125"/>
      <c r="M82" t="s">
        <v>1003</v>
      </c>
      <c r="N82" s="132" t="s">
        <v>1003</v>
      </c>
      <c r="O82" t="s">
        <v>363</v>
      </c>
      <c r="R82" t="s">
        <v>989</v>
      </c>
      <c r="T82" t="s">
        <v>466</v>
      </c>
      <c r="U82">
        <v>94227972</v>
      </c>
      <c r="V82" t="s">
        <v>217</v>
      </c>
      <c r="W82" t="s">
        <v>467</v>
      </c>
      <c r="X82" t="s">
        <v>468</v>
      </c>
      <c r="Y82" t="s">
        <v>217</v>
      </c>
      <c r="Z82" t="s">
        <v>220</v>
      </c>
      <c r="AA82">
        <v>3104294417</v>
      </c>
      <c r="AB82" t="s">
        <v>469</v>
      </c>
    </row>
    <row r="83" spans="1:28" x14ac:dyDescent="0.25">
      <c r="A83">
        <v>489</v>
      </c>
      <c r="B83">
        <v>9955716</v>
      </c>
      <c r="C83">
        <v>1000000</v>
      </c>
      <c r="D83">
        <v>2890000</v>
      </c>
      <c r="E83" t="s">
        <v>1008</v>
      </c>
      <c r="F83">
        <v>375700</v>
      </c>
      <c r="G83">
        <v>0.13</v>
      </c>
      <c r="H83" s="132">
        <v>45085</v>
      </c>
      <c r="I83" s="132">
        <v>45177</v>
      </c>
      <c r="J83" t="s">
        <v>641</v>
      </c>
      <c r="K83">
        <v>0</v>
      </c>
      <c r="L83" s="125"/>
      <c r="M83" t="s">
        <v>1003</v>
      </c>
      <c r="N83" s="132" t="s">
        <v>1003</v>
      </c>
      <c r="O83" t="s">
        <v>386</v>
      </c>
      <c r="R83" t="s">
        <v>989</v>
      </c>
      <c r="T83" t="s">
        <v>474</v>
      </c>
      <c r="U83">
        <v>9955716</v>
      </c>
      <c r="V83" t="s">
        <v>475</v>
      </c>
      <c r="W83" t="s">
        <v>476</v>
      </c>
      <c r="X83" t="s">
        <v>477</v>
      </c>
      <c r="Y83" t="s">
        <v>72</v>
      </c>
      <c r="Z83" t="s">
        <v>73</v>
      </c>
      <c r="AA83">
        <v>3114088034</v>
      </c>
      <c r="AB83" t="s">
        <v>478</v>
      </c>
    </row>
    <row r="84" spans="1:28" x14ac:dyDescent="0.25">
      <c r="A84">
        <v>490</v>
      </c>
      <c r="B84">
        <v>10095572</v>
      </c>
      <c r="C84">
        <v>1000000</v>
      </c>
      <c r="D84">
        <v>2890000</v>
      </c>
      <c r="E84" t="s">
        <v>1008</v>
      </c>
      <c r="F84">
        <v>375700</v>
      </c>
      <c r="G84">
        <v>0.13</v>
      </c>
      <c r="H84" s="132">
        <v>45091</v>
      </c>
      <c r="I84" s="132">
        <v>45183</v>
      </c>
      <c r="J84" t="s">
        <v>641</v>
      </c>
      <c r="K84">
        <v>0</v>
      </c>
      <c r="L84" s="125"/>
      <c r="M84" t="s">
        <v>1003</v>
      </c>
      <c r="N84" s="132" t="s">
        <v>1003</v>
      </c>
      <c r="O84" t="s">
        <v>386</v>
      </c>
      <c r="R84" t="s">
        <v>988</v>
      </c>
      <c r="T84" t="s">
        <v>479</v>
      </c>
      <c r="U84">
        <v>10095572</v>
      </c>
      <c r="V84" t="s">
        <v>72</v>
      </c>
      <c r="W84" t="s">
        <v>480</v>
      </c>
      <c r="X84" t="s">
        <v>481</v>
      </c>
      <c r="Y84" t="s">
        <v>72</v>
      </c>
      <c r="Z84" t="s">
        <v>73</v>
      </c>
      <c r="AA84">
        <v>3042315593</v>
      </c>
      <c r="AB84" t="s">
        <v>482</v>
      </c>
    </row>
    <row r="85" spans="1:28" x14ac:dyDescent="0.25">
      <c r="A85">
        <v>495</v>
      </c>
      <c r="B85">
        <v>10095572</v>
      </c>
      <c r="C85">
        <v>500000</v>
      </c>
      <c r="D85">
        <v>2195000</v>
      </c>
      <c r="E85" t="s">
        <v>1004</v>
      </c>
      <c r="F85">
        <v>285350</v>
      </c>
      <c r="G85">
        <v>0.13</v>
      </c>
      <c r="H85" s="132">
        <v>45106</v>
      </c>
      <c r="I85" s="132">
        <v>45198</v>
      </c>
      <c r="J85" t="s">
        <v>956</v>
      </c>
      <c r="K85">
        <v>0</v>
      </c>
      <c r="L85" s="125"/>
      <c r="M85" t="s">
        <v>1003</v>
      </c>
      <c r="N85" s="132" t="s">
        <v>1003</v>
      </c>
      <c r="O85" t="s">
        <v>256</v>
      </c>
      <c r="R85" t="s">
        <v>988</v>
      </c>
      <c r="T85" t="s">
        <v>479</v>
      </c>
      <c r="U85">
        <v>10095572</v>
      </c>
      <c r="V85" t="s">
        <v>72</v>
      </c>
      <c r="W85" t="s">
        <v>480</v>
      </c>
      <c r="X85" t="s">
        <v>481</v>
      </c>
      <c r="Y85" t="s">
        <v>72</v>
      </c>
      <c r="Z85" t="s">
        <v>73</v>
      </c>
      <c r="AA85">
        <v>3042315593</v>
      </c>
      <c r="AB85" t="s">
        <v>482</v>
      </c>
    </row>
    <row r="86" spans="1:28" x14ac:dyDescent="0.25">
      <c r="A86" t="s">
        <v>418</v>
      </c>
      <c r="B86">
        <v>10032573</v>
      </c>
      <c r="C86">
        <v>14000000</v>
      </c>
      <c r="D86">
        <v>20960000</v>
      </c>
      <c r="E86" t="s">
        <v>1029</v>
      </c>
      <c r="F86">
        <v>2724800</v>
      </c>
      <c r="G86">
        <v>0.13</v>
      </c>
      <c r="H86" s="132">
        <v>44940</v>
      </c>
      <c r="I86" s="132">
        <v>45030</v>
      </c>
      <c r="J86" t="s">
        <v>641</v>
      </c>
      <c r="K86">
        <v>0</v>
      </c>
      <c r="L86" s="125"/>
      <c r="M86" t="s">
        <v>1003</v>
      </c>
      <c r="N86" s="132" t="s">
        <v>1003</v>
      </c>
      <c r="O86" t="s">
        <v>553</v>
      </c>
      <c r="R86" t="s">
        <v>989</v>
      </c>
      <c r="T86" t="s">
        <v>485</v>
      </c>
      <c r="U86">
        <v>10032573</v>
      </c>
      <c r="V86" t="s">
        <v>72</v>
      </c>
      <c r="W86" t="s">
        <v>486</v>
      </c>
      <c r="X86" t="s">
        <v>1003</v>
      </c>
      <c r="Y86" t="s">
        <v>72</v>
      </c>
      <c r="Z86" t="s">
        <v>73</v>
      </c>
      <c r="AA86">
        <v>3175027748</v>
      </c>
      <c r="AB86" t="s">
        <v>487</v>
      </c>
    </row>
    <row r="87" spans="1:28" x14ac:dyDescent="0.25">
      <c r="A87">
        <v>491</v>
      </c>
      <c r="B87">
        <v>82382954</v>
      </c>
      <c r="C87">
        <v>2000000</v>
      </c>
      <c r="D87">
        <v>4280000</v>
      </c>
      <c r="E87" t="s">
        <v>1007</v>
      </c>
      <c r="F87">
        <v>556400</v>
      </c>
      <c r="G87">
        <v>0.13</v>
      </c>
      <c r="H87" s="132">
        <v>45093</v>
      </c>
      <c r="I87" s="132">
        <v>45185</v>
      </c>
      <c r="J87" t="s">
        <v>641</v>
      </c>
      <c r="K87">
        <v>0</v>
      </c>
      <c r="L87" s="125"/>
      <c r="M87" t="s">
        <v>1003</v>
      </c>
      <c r="N87" s="132" t="s">
        <v>1003</v>
      </c>
      <c r="O87" t="s">
        <v>555</v>
      </c>
      <c r="R87" t="s">
        <v>988</v>
      </c>
      <c r="T87" t="s">
        <v>492</v>
      </c>
      <c r="U87">
        <v>82382954</v>
      </c>
      <c r="V87" t="s">
        <v>493</v>
      </c>
      <c r="W87" t="s">
        <v>496</v>
      </c>
      <c r="X87" t="s">
        <v>497</v>
      </c>
      <c r="Y87" t="s">
        <v>72</v>
      </c>
      <c r="Z87" t="s">
        <v>73</v>
      </c>
      <c r="AA87">
        <v>3133099874</v>
      </c>
      <c r="AB87" t="s">
        <v>495</v>
      </c>
    </row>
    <row r="88" spans="1:28" x14ac:dyDescent="0.25">
      <c r="A88">
        <v>493</v>
      </c>
      <c r="B88">
        <v>10090181</v>
      </c>
      <c r="C88">
        <v>500000</v>
      </c>
      <c r="D88">
        <v>2195000</v>
      </c>
      <c r="E88" t="s">
        <v>1004</v>
      </c>
      <c r="F88">
        <v>285350</v>
      </c>
      <c r="G88">
        <v>0.13</v>
      </c>
      <c r="H88" s="132">
        <v>45098</v>
      </c>
      <c r="I88" s="132">
        <v>45190</v>
      </c>
      <c r="J88" t="s">
        <v>641</v>
      </c>
      <c r="K88">
        <v>0</v>
      </c>
      <c r="L88" s="125"/>
      <c r="M88" t="s">
        <v>1003</v>
      </c>
      <c r="N88" s="132" t="s">
        <v>1003</v>
      </c>
      <c r="O88" t="s">
        <v>386</v>
      </c>
      <c r="R88" t="s">
        <v>988</v>
      </c>
      <c r="T88" t="s">
        <v>505</v>
      </c>
      <c r="U88">
        <v>10090181</v>
      </c>
      <c r="V88" t="s">
        <v>72</v>
      </c>
      <c r="W88" t="s">
        <v>506</v>
      </c>
      <c r="X88" t="s">
        <v>507</v>
      </c>
      <c r="Y88" t="s">
        <v>72</v>
      </c>
      <c r="Z88" t="s">
        <v>73</v>
      </c>
      <c r="AA88" t="s">
        <v>510</v>
      </c>
      <c r="AB88" t="s">
        <v>508</v>
      </c>
    </row>
    <row r="89" spans="1:28" x14ac:dyDescent="0.25">
      <c r="A89">
        <v>494</v>
      </c>
      <c r="B89">
        <v>24929445</v>
      </c>
      <c r="C89">
        <v>500000</v>
      </c>
      <c r="D89">
        <v>2195000</v>
      </c>
      <c r="E89" t="s">
        <v>1004</v>
      </c>
      <c r="F89">
        <v>285350</v>
      </c>
      <c r="G89">
        <v>0.13</v>
      </c>
      <c r="H89" s="132">
        <v>45099</v>
      </c>
      <c r="I89" s="132">
        <v>45191</v>
      </c>
      <c r="J89" t="s">
        <v>641</v>
      </c>
      <c r="K89">
        <v>0</v>
      </c>
      <c r="L89" s="125"/>
      <c r="M89" t="s">
        <v>1003</v>
      </c>
      <c r="N89" s="132" t="s">
        <v>1003</v>
      </c>
      <c r="O89" t="s">
        <v>554</v>
      </c>
      <c r="R89" t="s">
        <v>988</v>
      </c>
      <c r="T89" t="s">
        <v>511</v>
      </c>
      <c r="U89">
        <v>24929445</v>
      </c>
      <c r="V89" t="s">
        <v>72</v>
      </c>
      <c r="W89" t="s">
        <v>512</v>
      </c>
      <c r="X89" t="s">
        <v>513</v>
      </c>
      <c r="Y89" t="s">
        <v>72</v>
      </c>
      <c r="Z89" t="s">
        <v>73</v>
      </c>
      <c r="AA89">
        <v>3104454479</v>
      </c>
      <c r="AB89" t="s">
        <v>514</v>
      </c>
    </row>
    <row r="90" spans="1:28" x14ac:dyDescent="0.25">
      <c r="A90" t="s">
        <v>520</v>
      </c>
      <c r="B90">
        <v>94376844</v>
      </c>
      <c r="C90">
        <v>20000000</v>
      </c>
      <c r="D90">
        <v>29300000</v>
      </c>
      <c r="E90" t="s">
        <v>1025</v>
      </c>
      <c r="F90">
        <v>3809000</v>
      </c>
      <c r="G90">
        <v>0.13</v>
      </c>
      <c r="H90" s="132">
        <v>44940</v>
      </c>
      <c r="I90" s="132">
        <v>45030</v>
      </c>
      <c r="J90" t="s">
        <v>641</v>
      </c>
      <c r="K90">
        <v>0</v>
      </c>
      <c r="L90" s="125"/>
      <c r="M90" t="s">
        <v>1003</v>
      </c>
      <c r="N90" s="132" t="s">
        <v>1003</v>
      </c>
      <c r="O90" t="s">
        <v>553</v>
      </c>
      <c r="R90" t="s">
        <v>989</v>
      </c>
      <c r="T90" t="s">
        <v>517</v>
      </c>
      <c r="U90">
        <v>94376844</v>
      </c>
      <c r="V90" t="s">
        <v>301</v>
      </c>
      <c r="W90" t="s">
        <v>518</v>
      </c>
      <c r="X90" t="s">
        <v>1003</v>
      </c>
      <c r="Y90" t="s">
        <v>217</v>
      </c>
      <c r="Z90" t="s">
        <v>220</v>
      </c>
      <c r="AA90">
        <v>3147573399</v>
      </c>
      <c r="AB90" t="s">
        <v>519</v>
      </c>
    </row>
    <row r="91" spans="1:28" x14ac:dyDescent="0.25">
      <c r="A91" t="s">
        <v>639</v>
      </c>
      <c r="B91">
        <v>13895026</v>
      </c>
      <c r="C91">
        <v>15250000</v>
      </c>
      <c r="D91">
        <v>22697500</v>
      </c>
      <c r="E91" t="s">
        <v>1030</v>
      </c>
      <c r="F91">
        <v>2950675</v>
      </c>
      <c r="G91">
        <v>0.13</v>
      </c>
      <c r="H91" s="132">
        <v>44940</v>
      </c>
      <c r="I91" s="132">
        <v>45030</v>
      </c>
      <c r="J91" t="s">
        <v>641</v>
      </c>
      <c r="K91">
        <v>0</v>
      </c>
      <c r="L91" s="125"/>
      <c r="M91" t="s">
        <v>1003</v>
      </c>
      <c r="N91" s="132" t="s">
        <v>1003</v>
      </c>
      <c r="O91" t="s">
        <v>553</v>
      </c>
      <c r="R91" t="s">
        <v>989</v>
      </c>
      <c r="T91" t="s">
        <v>521</v>
      </c>
      <c r="U91">
        <v>13895026</v>
      </c>
      <c r="V91" t="s">
        <v>522</v>
      </c>
      <c r="W91" t="s">
        <v>524</v>
      </c>
      <c r="X91" t="s">
        <v>525</v>
      </c>
      <c r="Y91" t="s">
        <v>526</v>
      </c>
      <c r="Z91" t="s">
        <v>83</v>
      </c>
      <c r="AA91">
        <v>3128317488</v>
      </c>
      <c r="AB91" t="s">
        <v>527</v>
      </c>
    </row>
    <row r="92" spans="1:28" x14ac:dyDescent="0.25">
      <c r="A92">
        <v>496</v>
      </c>
      <c r="B92">
        <v>42057042</v>
      </c>
      <c r="C92">
        <v>500000</v>
      </c>
      <c r="D92">
        <v>2195000</v>
      </c>
      <c r="E92" t="s">
        <v>1004</v>
      </c>
      <c r="F92">
        <v>285350</v>
      </c>
      <c r="G92">
        <v>0.13</v>
      </c>
      <c r="H92" s="132">
        <v>45117</v>
      </c>
      <c r="I92" s="132">
        <v>45209</v>
      </c>
      <c r="J92" t="s">
        <v>641</v>
      </c>
      <c r="K92">
        <v>0</v>
      </c>
      <c r="L92" s="125"/>
      <c r="M92" t="s">
        <v>1003</v>
      </c>
      <c r="N92" s="132" t="s">
        <v>1003</v>
      </c>
      <c r="O92" t="s">
        <v>386</v>
      </c>
      <c r="R92" t="s">
        <v>988</v>
      </c>
      <c r="T92" t="s">
        <v>533</v>
      </c>
      <c r="U92">
        <v>42057042</v>
      </c>
      <c r="V92" t="s">
        <v>72</v>
      </c>
      <c r="W92" t="s">
        <v>534</v>
      </c>
      <c r="X92" t="s">
        <v>535</v>
      </c>
      <c r="Y92" t="s">
        <v>72</v>
      </c>
      <c r="Z92" t="s">
        <v>73</v>
      </c>
      <c r="AA92">
        <v>3022795917</v>
      </c>
      <c r="AB92" t="s">
        <v>538</v>
      </c>
    </row>
    <row r="93" spans="1:28" x14ac:dyDescent="0.25">
      <c r="A93">
        <v>497</v>
      </c>
      <c r="B93">
        <v>15962486</v>
      </c>
      <c r="C93">
        <v>5000000</v>
      </c>
      <c r="D93">
        <v>8450000</v>
      </c>
      <c r="E93" t="s">
        <v>1014</v>
      </c>
      <c r="F93">
        <v>1098500</v>
      </c>
      <c r="G93">
        <v>0.13</v>
      </c>
      <c r="H93" s="132">
        <v>45121</v>
      </c>
      <c r="I93" s="132">
        <v>45213</v>
      </c>
      <c r="J93" t="s">
        <v>641</v>
      </c>
      <c r="K93">
        <v>0</v>
      </c>
      <c r="L93" s="125"/>
      <c r="M93" t="s">
        <v>1003</v>
      </c>
      <c r="N93" s="132" t="s">
        <v>1003</v>
      </c>
      <c r="O93" t="s">
        <v>552</v>
      </c>
      <c r="R93" t="s">
        <v>988</v>
      </c>
      <c r="T93" t="s">
        <v>540</v>
      </c>
      <c r="U93">
        <v>15962486</v>
      </c>
      <c r="V93" t="s">
        <v>86</v>
      </c>
      <c r="W93" t="s">
        <v>541</v>
      </c>
      <c r="X93" t="s">
        <v>1003</v>
      </c>
      <c r="Y93" t="s">
        <v>80</v>
      </c>
      <c r="Z93" t="s">
        <v>83</v>
      </c>
      <c r="AA93">
        <v>3158018334</v>
      </c>
      <c r="AB93" t="s">
        <v>542</v>
      </c>
    </row>
    <row r="94" spans="1:28" x14ac:dyDescent="0.25">
      <c r="A94">
        <v>499</v>
      </c>
      <c r="B94">
        <v>42878533</v>
      </c>
      <c r="C94">
        <v>4000000</v>
      </c>
      <c r="D94">
        <v>7060000</v>
      </c>
      <c r="E94" t="s">
        <v>1024</v>
      </c>
      <c r="F94">
        <v>917800</v>
      </c>
      <c r="G94">
        <v>0.13</v>
      </c>
      <c r="H94" s="132">
        <v>45142</v>
      </c>
      <c r="I94" s="132">
        <v>45234</v>
      </c>
      <c r="J94" t="s">
        <v>956</v>
      </c>
      <c r="K94">
        <v>0</v>
      </c>
      <c r="L94" s="125">
        <v>45173</v>
      </c>
      <c r="M94" t="s">
        <v>1003</v>
      </c>
      <c r="N94" s="132" t="s">
        <v>1003</v>
      </c>
      <c r="O94" t="s">
        <v>366</v>
      </c>
      <c r="R94" t="s">
        <v>988</v>
      </c>
      <c r="T94" t="s">
        <v>547</v>
      </c>
      <c r="U94">
        <v>42878533</v>
      </c>
      <c r="V94" t="s">
        <v>280</v>
      </c>
      <c r="W94" t="s">
        <v>548</v>
      </c>
      <c r="X94" t="s">
        <v>551</v>
      </c>
      <c r="Y94" t="s">
        <v>72</v>
      </c>
      <c r="Z94" t="s">
        <v>73</v>
      </c>
      <c r="AA94">
        <v>3137916223</v>
      </c>
      <c r="AB94" t="s">
        <v>549</v>
      </c>
    </row>
    <row r="95" spans="1:28" x14ac:dyDescent="0.25">
      <c r="A95">
        <v>500</v>
      </c>
      <c r="B95">
        <v>8271533</v>
      </c>
      <c r="C95">
        <v>600000</v>
      </c>
      <c r="D95">
        <v>2334000</v>
      </c>
      <c r="E95" t="s">
        <v>1031</v>
      </c>
      <c r="F95">
        <v>303420</v>
      </c>
      <c r="G95">
        <v>0.13</v>
      </c>
      <c r="H95" s="132">
        <v>45142</v>
      </c>
      <c r="I95" s="132">
        <v>45234</v>
      </c>
      <c r="J95" t="s">
        <v>956</v>
      </c>
      <c r="K95">
        <v>0</v>
      </c>
      <c r="L95" s="125">
        <v>45142</v>
      </c>
      <c r="M95" t="s">
        <v>1003</v>
      </c>
      <c r="N95" s="132" t="s">
        <v>1003</v>
      </c>
      <c r="O95" t="s">
        <v>366</v>
      </c>
      <c r="R95" t="s">
        <v>988</v>
      </c>
      <c r="T95" t="s">
        <v>556</v>
      </c>
      <c r="U95">
        <v>8271533</v>
      </c>
      <c r="V95" t="s">
        <v>557</v>
      </c>
      <c r="W95" t="s">
        <v>558</v>
      </c>
      <c r="X95" t="s">
        <v>559</v>
      </c>
      <c r="Y95" t="s">
        <v>72</v>
      </c>
      <c r="Z95" t="s">
        <v>73</v>
      </c>
      <c r="AA95">
        <v>3215564497</v>
      </c>
      <c r="AB95" t="s">
        <v>562</v>
      </c>
    </row>
    <row r="96" spans="1:28" x14ac:dyDescent="0.25">
      <c r="A96">
        <v>501</v>
      </c>
      <c r="B96">
        <v>10123881</v>
      </c>
      <c r="C96">
        <v>540000</v>
      </c>
      <c r="D96">
        <v>2250600</v>
      </c>
      <c r="E96" t="s">
        <v>1032</v>
      </c>
      <c r="F96">
        <v>292578</v>
      </c>
      <c r="G96">
        <v>0.13</v>
      </c>
      <c r="H96" s="132">
        <v>45149</v>
      </c>
      <c r="I96" s="132">
        <v>45241</v>
      </c>
      <c r="J96" t="s">
        <v>641</v>
      </c>
      <c r="K96">
        <v>0</v>
      </c>
      <c r="L96" s="125"/>
      <c r="M96" t="s">
        <v>1003</v>
      </c>
      <c r="N96" s="132" t="s">
        <v>1003</v>
      </c>
      <c r="O96" t="s">
        <v>615</v>
      </c>
      <c r="R96" t="s">
        <v>988</v>
      </c>
      <c r="T96" t="s">
        <v>616</v>
      </c>
      <c r="U96">
        <v>10123881</v>
      </c>
      <c r="V96" t="s">
        <v>72</v>
      </c>
      <c r="W96" t="s">
        <v>563</v>
      </c>
      <c r="X96" t="s">
        <v>564</v>
      </c>
      <c r="Y96" t="s">
        <v>72</v>
      </c>
      <c r="Z96" t="s">
        <v>73</v>
      </c>
      <c r="AA96">
        <v>3217392626</v>
      </c>
      <c r="AB96" t="s">
        <v>565</v>
      </c>
    </row>
    <row r="97" spans="1:28" x14ac:dyDescent="0.25">
      <c r="A97">
        <v>502</v>
      </c>
      <c r="B97">
        <v>7497396</v>
      </c>
      <c r="C97">
        <v>540000</v>
      </c>
      <c r="D97">
        <v>2250600</v>
      </c>
      <c r="E97" t="s">
        <v>1032</v>
      </c>
      <c r="F97">
        <v>292578</v>
      </c>
      <c r="G97">
        <v>0.13</v>
      </c>
      <c r="H97" s="132">
        <v>45152</v>
      </c>
      <c r="I97" s="132">
        <v>45244</v>
      </c>
      <c r="J97" t="s">
        <v>641</v>
      </c>
      <c r="K97">
        <v>0</v>
      </c>
      <c r="L97" s="125"/>
      <c r="M97" t="s">
        <v>1003</v>
      </c>
      <c r="N97" s="132" t="s">
        <v>1003</v>
      </c>
      <c r="O97" t="s">
        <v>615</v>
      </c>
      <c r="R97" t="s">
        <v>988</v>
      </c>
      <c r="T97" t="s">
        <v>575</v>
      </c>
      <c r="U97">
        <v>7497396</v>
      </c>
      <c r="V97" t="s">
        <v>114</v>
      </c>
      <c r="W97" t="s">
        <v>576</v>
      </c>
      <c r="X97" t="s">
        <v>577</v>
      </c>
      <c r="Y97" t="s">
        <v>89</v>
      </c>
      <c r="Z97" t="s">
        <v>73</v>
      </c>
      <c r="AA97">
        <v>3154870032</v>
      </c>
      <c r="AB97" t="s">
        <v>578</v>
      </c>
    </row>
    <row r="98" spans="1:28" x14ac:dyDescent="0.25">
      <c r="A98">
        <v>503</v>
      </c>
      <c r="B98">
        <v>24761361</v>
      </c>
      <c r="C98">
        <v>350000</v>
      </c>
      <c r="D98">
        <v>1986500</v>
      </c>
      <c r="E98" t="s">
        <v>1016</v>
      </c>
      <c r="F98">
        <v>258245</v>
      </c>
      <c r="G98">
        <v>0.13</v>
      </c>
      <c r="H98" s="132">
        <v>45152</v>
      </c>
      <c r="I98" s="132">
        <v>45244</v>
      </c>
      <c r="J98" t="s">
        <v>641</v>
      </c>
      <c r="K98">
        <v>0</v>
      </c>
      <c r="L98" s="125">
        <v>45152</v>
      </c>
      <c r="M98" t="s">
        <v>1003</v>
      </c>
      <c r="N98" s="132" t="s">
        <v>1003</v>
      </c>
      <c r="O98" t="s">
        <v>454</v>
      </c>
      <c r="R98" t="s">
        <v>988</v>
      </c>
      <c r="T98" t="s">
        <v>581</v>
      </c>
      <c r="U98">
        <v>24761361</v>
      </c>
      <c r="V98" t="s">
        <v>582</v>
      </c>
      <c r="W98" t="s">
        <v>584</v>
      </c>
      <c r="X98" t="s">
        <v>585</v>
      </c>
      <c r="Y98" t="s">
        <v>72</v>
      </c>
      <c r="Z98" t="s">
        <v>73</v>
      </c>
      <c r="AA98">
        <v>3215649948</v>
      </c>
      <c r="AB98" t="s">
        <v>583</v>
      </c>
    </row>
    <row r="99" spans="1:28" x14ac:dyDescent="0.25">
      <c r="A99">
        <v>504</v>
      </c>
      <c r="B99">
        <v>10023511</v>
      </c>
      <c r="C99">
        <v>450000</v>
      </c>
      <c r="D99">
        <v>2125500</v>
      </c>
      <c r="E99" t="s">
        <v>1033</v>
      </c>
      <c r="F99">
        <v>276315</v>
      </c>
      <c r="G99">
        <v>0.13</v>
      </c>
      <c r="H99" s="132">
        <v>45153</v>
      </c>
      <c r="I99" s="132">
        <v>45245</v>
      </c>
      <c r="J99" t="s">
        <v>640</v>
      </c>
      <c r="K99">
        <v>400000</v>
      </c>
      <c r="L99" s="125">
        <v>45162</v>
      </c>
      <c r="M99" t="s">
        <v>1003</v>
      </c>
      <c r="N99" s="132" t="s">
        <v>1003</v>
      </c>
      <c r="O99" t="s">
        <v>594</v>
      </c>
      <c r="R99" t="s">
        <v>988</v>
      </c>
      <c r="T99" t="s">
        <v>586</v>
      </c>
      <c r="U99">
        <v>10023511</v>
      </c>
      <c r="V99" t="s">
        <v>72</v>
      </c>
      <c r="W99" t="s">
        <v>587</v>
      </c>
      <c r="X99" t="s">
        <v>588</v>
      </c>
      <c r="Y99" t="s">
        <v>89</v>
      </c>
      <c r="Z99" t="s">
        <v>73</v>
      </c>
      <c r="AA99">
        <v>3122562580</v>
      </c>
      <c r="AB99" t="s">
        <v>589</v>
      </c>
    </row>
    <row r="100" spans="1:28" x14ac:dyDescent="0.25">
      <c r="A100" t="s">
        <v>523</v>
      </c>
      <c r="B100">
        <v>24954088</v>
      </c>
      <c r="C100">
        <v>18000000</v>
      </c>
      <c r="D100">
        <v>26520000</v>
      </c>
      <c r="E100" t="s">
        <v>1034</v>
      </c>
      <c r="F100">
        <v>3447600</v>
      </c>
      <c r="G100">
        <v>0.13</v>
      </c>
      <c r="H100" s="132">
        <v>44973</v>
      </c>
      <c r="I100" s="132">
        <v>45062</v>
      </c>
      <c r="J100" t="s">
        <v>640</v>
      </c>
      <c r="K100">
        <v>0</v>
      </c>
      <c r="L100" s="125"/>
      <c r="M100" t="s">
        <v>1003</v>
      </c>
      <c r="N100" s="132" t="s">
        <v>1003</v>
      </c>
      <c r="O100" t="s">
        <v>553</v>
      </c>
      <c r="R100" t="s">
        <v>989</v>
      </c>
      <c r="T100" t="s">
        <v>595</v>
      </c>
      <c r="U100">
        <v>24954088</v>
      </c>
      <c r="V100" t="s">
        <v>72</v>
      </c>
      <c r="W100" t="s">
        <v>596</v>
      </c>
      <c r="X100" t="s">
        <v>597</v>
      </c>
      <c r="Y100" t="s">
        <v>72</v>
      </c>
      <c r="Z100" t="s">
        <v>73</v>
      </c>
      <c r="AA100">
        <v>3128651170</v>
      </c>
      <c r="AB100" t="s">
        <v>598</v>
      </c>
    </row>
    <row r="101" spans="1:28" x14ac:dyDescent="0.25">
      <c r="A101">
        <v>505</v>
      </c>
      <c r="B101">
        <v>34056113</v>
      </c>
      <c r="C101">
        <v>640000</v>
      </c>
      <c r="D101">
        <v>2389600</v>
      </c>
      <c r="E101" t="s">
        <v>1035</v>
      </c>
      <c r="F101">
        <v>310648</v>
      </c>
      <c r="G101">
        <v>0.13</v>
      </c>
      <c r="H101" s="132">
        <v>45154</v>
      </c>
      <c r="I101" s="132">
        <v>45246</v>
      </c>
      <c r="J101" t="s">
        <v>641</v>
      </c>
      <c r="K101">
        <v>723200</v>
      </c>
      <c r="L101" s="125">
        <v>45181</v>
      </c>
      <c r="M101" t="s">
        <v>4</v>
      </c>
      <c r="N101" s="132">
        <v>45181</v>
      </c>
      <c r="O101" t="s">
        <v>615</v>
      </c>
      <c r="R101" t="s">
        <v>988</v>
      </c>
      <c r="T101" t="s">
        <v>602</v>
      </c>
      <c r="U101">
        <v>34056113</v>
      </c>
      <c r="V101" t="s">
        <v>72</v>
      </c>
      <c r="W101" t="s">
        <v>603</v>
      </c>
      <c r="X101" t="s">
        <v>604</v>
      </c>
      <c r="Y101" t="s">
        <v>89</v>
      </c>
      <c r="Z101" t="s">
        <v>73</v>
      </c>
      <c r="AA101">
        <v>3217279594</v>
      </c>
      <c r="AB101" t="s">
        <v>605</v>
      </c>
    </row>
    <row r="102" spans="1:28" x14ac:dyDescent="0.25">
      <c r="A102">
        <v>506</v>
      </c>
      <c r="B102">
        <v>42055869</v>
      </c>
      <c r="C102">
        <v>2540000</v>
      </c>
      <c r="D102">
        <v>5030600</v>
      </c>
      <c r="E102" t="s">
        <v>1036</v>
      </c>
      <c r="F102">
        <v>653978</v>
      </c>
      <c r="G102">
        <v>0.13</v>
      </c>
      <c r="H102" s="132">
        <v>45154</v>
      </c>
      <c r="I102" s="132">
        <v>45246</v>
      </c>
      <c r="J102" t="s">
        <v>641</v>
      </c>
      <c r="K102">
        <v>0</v>
      </c>
      <c r="L102" s="125"/>
      <c r="M102" t="s">
        <v>1003</v>
      </c>
      <c r="N102" s="132" t="s">
        <v>1003</v>
      </c>
      <c r="O102" t="s">
        <v>615</v>
      </c>
      <c r="R102" t="s">
        <v>988</v>
      </c>
      <c r="T102" t="s">
        <v>609</v>
      </c>
      <c r="U102">
        <v>42055869</v>
      </c>
      <c r="V102" t="s">
        <v>72</v>
      </c>
      <c r="W102" t="s">
        <v>610</v>
      </c>
      <c r="X102" t="s">
        <v>611</v>
      </c>
      <c r="Y102" t="s">
        <v>89</v>
      </c>
      <c r="Z102" t="s">
        <v>73</v>
      </c>
      <c r="AA102">
        <v>3147515810</v>
      </c>
      <c r="AB102" t="s">
        <v>612</v>
      </c>
    </row>
    <row r="103" spans="1:28" x14ac:dyDescent="0.25">
      <c r="A103">
        <v>427</v>
      </c>
      <c r="B103">
        <v>24937844</v>
      </c>
      <c r="C103">
        <v>540000</v>
      </c>
      <c r="D103">
        <v>2250600</v>
      </c>
      <c r="E103" t="s">
        <v>1032</v>
      </c>
      <c r="F103">
        <v>292578</v>
      </c>
      <c r="G103">
        <v>0.13</v>
      </c>
      <c r="H103" s="132">
        <v>45160</v>
      </c>
      <c r="I103" s="132">
        <v>45252</v>
      </c>
      <c r="J103" t="s">
        <v>956</v>
      </c>
      <c r="K103">
        <v>0</v>
      </c>
      <c r="L103" s="125"/>
      <c r="M103" t="s">
        <v>1003</v>
      </c>
      <c r="N103" s="132" t="s">
        <v>1003</v>
      </c>
      <c r="O103" t="s">
        <v>615</v>
      </c>
      <c r="R103" t="s">
        <v>988</v>
      </c>
      <c r="T103" t="s">
        <v>621</v>
      </c>
      <c r="U103">
        <v>24937844</v>
      </c>
      <c r="V103" t="s">
        <v>72</v>
      </c>
      <c r="W103" t="s">
        <v>622</v>
      </c>
      <c r="X103" t="s">
        <v>623</v>
      </c>
      <c r="Y103" t="s">
        <v>72</v>
      </c>
      <c r="Z103" t="s">
        <v>73</v>
      </c>
      <c r="AA103">
        <v>3115742391</v>
      </c>
      <c r="AB103" t="s">
        <v>624</v>
      </c>
    </row>
    <row r="104" spans="1:28" x14ac:dyDescent="0.25">
      <c r="A104">
        <v>428</v>
      </c>
      <c r="B104">
        <v>16231799</v>
      </c>
      <c r="C104">
        <v>2040000</v>
      </c>
      <c r="D104">
        <v>4335600</v>
      </c>
      <c r="E104" t="s">
        <v>1037</v>
      </c>
      <c r="F104">
        <v>563628</v>
      </c>
      <c r="G104">
        <v>0.13</v>
      </c>
      <c r="H104" s="132">
        <v>45160</v>
      </c>
      <c r="I104" s="132">
        <v>45252</v>
      </c>
      <c r="J104" t="s">
        <v>641</v>
      </c>
      <c r="K104">
        <v>0</v>
      </c>
      <c r="L104" s="125"/>
      <c r="M104" t="s">
        <v>1003</v>
      </c>
      <c r="N104" s="132" t="s">
        <v>1003</v>
      </c>
      <c r="O104" t="s">
        <v>615</v>
      </c>
      <c r="R104" t="s">
        <v>988</v>
      </c>
      <c r="T104" t="s">
        <v>627</v>
      </c>
      <c r="U104">
        <v>16231799</v>
      </c>
      <c r="V104" t="s">
        <v>628</v>
      </c>
      <c r="W104" t="s">
        <v>629</v>
      </c>
      <c r="X104" t="s">
        <v>630</v>
      </c>
      <c r="Y104" t="s">
        <v>72</v>
      </c>
      <c r="Z104" t="s">
        <v>73</v>
      </c>
      <c r="AA104">
        <v>3104733599</v>
      </c>
      <c r="AB104" t="s">
        <v>631</v>
      </c>
    </row>
    <row r="105" spans="1:28" x14ac:dyDescent="0.25">
      <c r="A105">
        <v>513</v>
      </c>
      <c r="B105">
        <v>25157828</v>
      </c>
      <c r="C105">
        <v>840000</v>
      </c>
      <c r="D105">
        <v>2667600</v>
      </c>
      <c r="E105" t="s">
        <v>1038</v>
      </c>
      <c r="F105">
        <v>346788</v>
      </c>
      <c r="G105">
        <v>0.13</v>
      </c>
      <c r="H105" s="132">
        <v>45162</v>
      </c>
      <c r="I105" s="132">
        <v>45254</v>
      </c>
      <c r="J105" t="s">
        <v>641</v>
      </c>
      <c r="K105">
        <v>0</v>
      </c>
      <c r="L105" s="125"/>
      <c r="M105" t="s">
        <v>1003</v>
      </c>
      <c r="N105" s="132" t="s">
        <v>1003</v>
      </c>
      <c r="O105" t="s">
        <v>615</v>
      </c>
      <c r="R105" t="s">
        <v>988</v>
      </c>
      <c r="T105" t="s">
        <v>937</v>
      </c>
      <c r="U105">
        <v>25157828</v>
      </c>
      <c r="V105" t="s">
        <v>938</v>
      </c>
      <c r="W105" t="s">
        <v>939</v>
      </c>
      <c r="X105" t="s">
        <v>940</v>
      </c>
      <c r="Y105" t="s">
        <v>938</v>
      </c>
      <c r="Z105" t="s">
        <v>73</v>
      </c>
      <c r="AA105">
        <v>3218330369</v>
      </c>
      <c r="AB105" t="s">
        <v>941</v>
      </c>
    </row>
    <row r="106" spans="1:28" x14ac:dyDescent="0.25">
      <c r="A106">
        <v>514</v>
      </c>
      <c r="B106">
        <v>24929445</v>
      </c>
      <c r="C106">
        <v>1000000</v>
      </c>
      <c r="D106">
        <v>2890000</v>
      </c>
      <c r="E106" t="s">
        <v>1008</v>
      </c>
      <c r="F106">
        <v>375700</v>
      </c>
      <c r="G106">
        <v>0.13</v>
      </c>
      <c r="H106" s="132">
        <v>45163</v>
      </c>
      <c r="I106" s="132">
        <v>45255</v>
      </c>
      <c r="J106" t="s">
        <v>641</v>
      </c>
      <c r="K106">
        <v>0</v>
      </c>
      <c r="L106" s="125">
        <v>45167</v>
      </c>
      <c r="M106" t="s">
        <v>1003</v>
      </c>
      <c r="N106" s="132" t="s">
        <v>1003</v>
      </c>
      <c r="O106" t="s">
        <v>936</v>
      </c>
      <c r="R106" t="s">
        <v>988</v>
      </c>
      <c r="T106" t="s">
        <v>511</v>
      </c>
      <c r="U106">
        <v>24929445</v>
      </c>
      <c r="V106" t="s">
        <v>72</v>
      </c>
      <c r="W106" t="s">
        <v>512</v>
      </c>
      <c r="X106" t="s">
        <v>513</v>
      </c>
      <c r="Y106" t="s">
        <v>72</v>
      </c>
      <c r="Z106" t="s">
        <v>73</v>
      </c>
      <c r="AA106">
        <v>3104454479</v>
      </c>
      <c r="AB106" t="s">
        <v>514</v>
      </c>
    </row>
    <row r="107" spans="1:28" x14ac:dyDescent="0.25">
      <c r="A107" t="s">
        <v>948</v>
      </c>
      <c r="B107">
        <v>1053802967</v>
      </c>
      <c r="C107">
        <v>30000000</v>
      </c>
      <c r="D107">
        <v>43200000</v>
      </c>
      <c r="E107" t="s">
        <v>1039</v>
      </c>
      <c r="F107">
        <v>5616000</v>
      </c>
      <c r="G107">
        <v>0.13</v>
      </c>
      <c r="H107" s="132">
        <v>45010</v>
      </c>
      <c r="I107" s="132">
        <v>45102</v>
      </c>
      <c r="J107" t="s">
        <v>640</v>
      </c>
      <c r="K107">
        <v>0</v>
      </c>
      <c r="L107" s="125"/>
      <c r="M107" t="s">
        <v>1003</v>
      </c>
      <c r="N107" s="132" t="s">
        <v>1003</v>
      </c>
      <c r="O107" t="s">
        <v>553</v>
      </c>
      <c r="R107" t="s">
        <v>989</v>
      </c>
      <c r="T107" t="s">
        <v>947</v>
      </c>
      <c r="U107">
        <v>1053802967</v>
      </c>
      <c r="V107" t="s">
        <v>80</v>
      </c>
      <c r="W107" t="s">
        <v>949</v>
      </c>
      <c r="X107" t="s">
        <v>1003</v>
      </c>
      <c r="Y107" t="s">
        <v>950</v>
      </c>
      <c r="Z107" t="s">
        <v>83</v>
      </c>
      <c r="AA107">
        <v>3228977542</v>
      </c>
      <c r="AB107" t="s">
        <v>951</v>
      </c>
    </row>
    <row r="108" spans="1:28" x14ac:dyDescent="0.25">
      <c r="A108">
        <v>515</v>
      </c>
      <c r="B108">
        <v>10183030</v>
      </c>
      <c r="C108">
        <v>1500000</v>
      </c>
      <c r="D108">
        <v>3585000</v>
      </c>
      <c r="E108" t="s">
        <v>1006</v>
      </c>
      <c r="F108">
        <v>466050</v>
      </c>
      <c r="G108">
        <v>0.13</v>
      </c>
      <c r="H108" s="132">
        <v>45168</v>
      </c>
      <c r="I108" s="132">
        <v>45260</v>
      </c>
      <c r="J108" t="s">
        <v>641</v>
      </c>
      <c r="K108">
        <v>0</v>
      </c>
      <c r="L108" s="125"/>
      <c r="M108" t="s">
        <v>1003</v>
      </c>
      <c r="N108" s="132" t="s">
        <v>1003</v>
      </c>
      <c r="R108" t="s">
        <v>988</v>
      </c>
      <c r="T108" t="s">
        <v>1040</v>
      </c>
      <c r="U108">
        <v>10183030</v>
      </c>
      <c r="V108" t="s">
        <v>1041</v>
      </c>
      <c r="W108" t="s">
        <v>1042</v>
      </c>
      <c r="X108" t="s">
        <v>1043</v>
      </c>
      <c r="Y108" t="s">
        <v>1041</v>
      </c>
      <c r="Z108" t="s">
        <v>83</v>
      </c>
      <c r="AA108">
        <v>3142599562</v>
      </c>
      <c r="AB108" t="s">
        <v>1044</v>
      </c>
    </row>
    <row r="109" spans="1:28" x14ac:dyDescent="0.25">
      <c r="A109">
        <v>516</v>
      </c>
      <c r="B109">
        <v>24761361</v>
      </c>
      <c r="C109">
        <v>1000000</v>
      </c>
      <c r="D109">
        <v>2890000</v>
      </c>
      <c r="E109" t="s">
        <v>1008</v>
      </c>
      <c r="F109">
        <v>375700</v>
      </c>
      <c r="G109">
        <v>0.13</v>
      </c>
      <c r="H109" s="132">
        <v>45173</v>
      </c>
      <c r="I109" s="132">
        <v>45264</v>
      </c>
      <c r="J109" t="s">
        <v>1048</v>
      </c>
      <c r="K109">
        <v>0</v>
      </c>
      <c r="L109" s="125">
        <v>45173</v>
      </c>
      <c r="M109" t="s">
        <v>1003</v>
      </c>
      <c r="N109" s="132" t="s">
        <v>1003</v>
      </c>
      <c r="O109" t="s">
        <v>936</v>
      </c>
      <c r="R109" t="s">
        <v>988</v>
      </c>
      <c r="T109" t="s">
        <v>581</v>
      </c>
      <c r="U109">
        <v>24761361</v>
      </c>
      <c r="V109" t="s">
        <v>582</v>
      </c>
      <c r="W109" t="s">
        <v>584</v>
      </c>
      <c r="X109" t="s">
        <v>585</v>
      </c>
      <c r="Y109" t="s">
        <v>72</v>
      </c>
      <c r="Z109" t="s">
        <v>73</v>
      </c>
      <c r="AA109">
        <v>3215649948</v>
      </c>
      <c r="AB109" t="s">
        <v>583</v>
      </c>
    </row>
    <row r="110" spans="1:28" x14ac:dyDescent="0.25">
      <c r="A110">
        <v>517</v>
      </c>
      <c r="B110">
        <v>1087994842</v>
      </c>
      <c r="C110">
        <v>500000</v>
      </c>
      <c r="D110">
        <v>2195000</v>
      </c>
      <c r="E110" t="s">
        <v>1004</v>
      </c>
      <c r="F110">
        <v>285350</v>
      </c>
      <c r="G110">
        <v>0.13</v>
      </c>
      <c r="H110" s="132">
        <v>45173</v>
      </c>
      <c r="I110" s="132">
        <v>45264</v>
      </c>
      <c r="J110" t="s">
        <v>1048</v>
      </c>
      <c r="K110">
        <v>0</v>
      </c>
      <c r="L110" s="125">
        <v>45181</v>
      </c>
      <c r="M110" t="s">
        <v>1003</v>
      </c>
      <c r="N110" s="132" t="s">
        <v>1003</v>
      </c>
      <c r="O110" t="s">
        <v>936</v>
      </c>
      <c r="R110" t="s">
        <v>988</v>
      </c>
      <c r="T110" t="s">
        <v>224</v>
      </c>
      <c r="U110">
        <v>1087994842</v>
      </c>
      <c r="V110" t="s">
        <v>89</v>
      </c>
      <c r="W110" t="s">
        <v>230</v>
      </c>
      <c r="X110" t="s">
        <v>229</v>
      </c>
      <c r="Y110" t="s">
        <v>72</v>
      </c>
      <c r="Z110" t="s">
        <v>73</v>
      </c>
      <c r="AA110">
        <v>3023016277</v>
      </c>
      <c r="AB110" t="s">
        <v>231</v>
      </c>
    </row>
    <row r="111" spans="1:28" x14ac:dyDescent="0.25">
      <c r="A111">
        <v>518</v>
      </c>
      <c r="B111">
        <v>9955716</v>
      </c>
      <c r="C111">
        <v>1000000</v>
      </c>
      <c r="D111">
        <v>2890000</v>
      </c>
      <c r="E111" t="s">
        <v>1008</v>
      </c>
      <c r="F111">
        <v>375700</v>
      </c>
      <c r="G111">
        <v>0.13</v>
      </c>
      <c r="H111" s="132">
        <v>45173</v>
      </c>
      <c r="I111" s="132">
        <v>45264</v>
      </c>
      <c r="J111" t="s">
        <v>1048</v>
      </c>
      <c r="K111">
        <v>0</v>
      </c>
      <c r="L111" s="125"/>
      <c r="M111" t="s">
        <v>1003</v>
      </c>
      <c r="N111" s="132" t="s">
        <v>1003</v>
      </c>
      <c r="O111" t="s">
        <v>386</v>
      </c>
      <c r="R111" t="s">
        <v>988</v>
      </c>
      <c r="T111" t="s">
        <v>474</v>
      </c>
      <c r="U111">
        <v>9955716</v>
      </c>
      <c r="V111" t="s">
        <v>475</v>
      </c>
      <c r="W111" t="s">
        <v>476</v>
      </c>
      <c r="X111" t="s">
        <v>477</v>
      </c>
      <c r="Y111" t="s">
        <v>72</v>
      </c>
      <c r="Z111" t="s">
        <v>73</v>
      </c>
      <c r="AA111">
        <v>3114088034</v>
      </c>
      <c r="AB111" t="s">
        <v>478</v>
      </c>
    </row>
    <row r="112" spans="1:28" x14ac:dyDescent="0.25">
      <c r="A112">
        <v>519</v>
      </c>
      <c r="B112">
        <v>25151551</v>
      </c>
      <c r="C112">
        <v>1000000</v>
      </c>
      <c r="D112">
        <v>2890000</v>
      </c>
      <c r="E112" t="s">
        <v>1008</v>
      </c>
      <c r="F112">
        <v>375700</v>
      </c>
      <c r="G112">
        <v>0.13</v>
      </c>
      <c r="H112" s="132">
        <v>45174</v>
      </c>
      <c r="I112" s="132">
        <v>45265</v>
      </c>
      <c r="J112" t="s">
        <v>1048</v>
      </c>
      <c r="K112">
        <v>0</v>
      </c>
      <c r="L112" s="125"/>
      <c r="N112" s="132"/>
      <c r="O112" t="s">
        <v>386</v>
      </c>
      <c r="R112" t="s">
        <v>988</v>
      </c>
      <c r="T112" t="s">
        <v>1088</v>
      </c>
      <c r="U112">
        <v>25151551</v>
      </c>
      <c r="V112" t="s">
        <v>938</v>
      </c>
      <c r="W112" t="s">
        <v>1090</v>
      </c>
      <c r="X112" t="s">
        <v>1089</v>
      </c>
      <c r="Y112" t="s">
        <v>938</v>
      </c>
      <c r="Z112" t="s">
        <v>73</v>
      </c>
      <c r="AA112">
        <v>3104939431</v>
      </c>
      <c r="AB112" t="s">
        <v>1091</v>
      </c>
    </row>
    <row r="113" spans="1:28" x14ac:dyDescent="0.25">
      <c r="A113">
        <v>520</v>
      </c>
      <c r="B113">
        <v>42057042</v>
      </c>
      <c r="C113">
        <v>500000</v>
      </c>
      <c r="D113">
        <v>2195000</v>
      </c>
      <c r="E113" t="s">
        <v>1004</v>
      </c>
      <c r="F113">
        <v>285350</v>
      </c>
      <c r="G113">
        <v>0.13</v>
      </c>
      <c r="H113" s="132">
        <v>45174</v>
      </c>
      <c r="I113" s="132">
        <v>45265</v>
      </c>
      <c r="J113" t="s">
        <v>1048</v>
      </c>
      <c r="K113">
        <v>0</v>
      </c>
      <c r="L113" s="125"/>
      <c r="N113" s="132"/>
      <c r="O113" t="s">
        <v>386</v>
      </c>
      <c r="R113" t="s">
        <v>988</v>
      </c>
      <c r="T113" t="s">
        <v>533</v>
      </c>
      <c r="U113">
        <v>42057042</v>
      </c>
      <c r="V113" t="s">
        <v>72</v>
      </c>
      <c r="W113" t="s">
        <v>534</v>
      </c>
      <c r="X113" t="s">
        <v>535</v>
      </c>
      <c r="Y113" t="s">
        <v>72</v>
      </c>
      <c r="Z113" t="s">
        <v>73</v>
      </c>
      <c r="AA113">
        <v>3022795917</v>
      </c>
      <c r="AB113" t="s">
        <v>538</v>
      </c>
    </row>
    <row r="114" spans="1:28" x14ac:dyDescent="0.25">
      <c r="A114">
        <v>521</v>
      </c>
      <c r="B114">
        <v>10069872</v>
      </c>
      <c r="C114">
        <v>550000</v>
      </c>
      <c r="D114">
        <v>2264500</v>
      </c>
      <c r="E114" t="s">
        <v>1094</v>
      </c>
      <c r="F114">
        <v>294385</v>
      </c>
      <c r="G114">
        <v>0.13</v>
      </c>
      <c r="H114" s="132">
        <v>45174</v>
      </c>
      <c r="I114" s="132">
        <v>45265</v>
      </c>
      <c r="J114" t="s">
        <v>1048</v>
      </c>
      <c r="K114">
        <v>0</v>
      </c>
      <c r="L114" s="125">
        <v>45174</v>
      </c>
      <c r="N114" s="132"/>
      <c r="O114" t="s">
        <v>936</v>
      </c>
      <c r="R114" t="s">
        <v>988</v>
      </c>
      <c r="T114" t="s">
        <v>356</v>
      </c>
      <c r="U114">
        <v>10069872</v>
      </c>
      <c r="V114" t="s">
        <v>72</v>
      </c>
      <c r="W114" t="s">
        <v>357</v>
      </c>
      <c r="X114" t="s">
        <v>358</v>
      </c>
      <c r="Y114" t="s">
        <v>72</v>
      </c>
      <c r="Z114" t="s">
        <v>73</v>
      </c>
      <c r="AA114">
        <v>3234922685</v>
      </c>
      <c r="AB114" t="s">
        <v>359</v>
      </c>
    </row>
    <row r="115" spans="1:28" x14ac:dyDescent="0.25">
      <c r="A115">
        <v>522</v>
      </c>
      <c r="B115">
        <v>18501691</v>
      </c>
      <c r="C115">
        <v>540000</v>
      </c>
      <c r="D115">
        <v>2250600</v>
      </c>
      <c r="E115" t="s">
        <v>1032</v>
      </c>
      <c r="F115">
        <v>292578</v>
      </c>
      <c r="G115">
        <v>0.13</v>
      </c>
      <c r="H115" s="132">
        <v>45175</v>
      </c>
      <c r="I115" s="132">
        <v>45266</v>
      </c>
      <c r="J115" t="s">
        <v>1099</v>
      </c>
      <c r="K115">
        <v>0</v>
      </c>
      <c r="L115" s="125"/>
      <c r="N115" s="132"/>
      <c r="O115" t="s">
        <v>615</v>
      </c>
      <c r="R115" t="s">
        <v>988</v>
      </c>
      <c r="T115" t="s">
        <v>1095</v>
      </c>
      <c r="U115">
        <v>18501691</v>
      </c>
      <c r="V115" t="s">
        <v>89</v>
      </c>
      <c r="W115" t="s">
        <v>1096</v>
      </c>
      <c r="X115" t="s">
        <v>1097</v>
      </c>
      <c r="Y115" t="s">
        <v>89</v>
      </c>
      <c r="Z115" t="s">
        <v>73</v>
      </c>
      <c r="AA115">
        <v>3022375410</v>
      </c>
      <c r="AB115" t="s">
        <v>1098</v>
      </c>
    </row>
    <row r="116" spans="1:28" x14ac:dyDescent="0.25">
      <c r="A116" t="s">
        <v>1104</v>
      </c>
      <c r="B116">
        <v>75072010</v>
      </c>
      <c r="C116">
        <v>10000000</v>
      </c>
      <c r="D116">
        <v>15400000</v>
      </c>
      <c r="E116" t="s">
        <v>1027</v>
      </c>
      <c r="F116">
        <v>2002000</v>
      </c>
      <c r="G116">
        <v>0.13</v>
      </c>
      <c r="H116" s="132">
        <v>45012</v>
      </c>
      <c r="I116" s="132">
        <v>45104</v>
      </c>
      <c r="J116" t="s">
        <v>640</v>
      </c>
      <c r="K116">
        <v>0</v>
      </c>
      <c r="L116" s="125"/>
      <c r="N116" s="132"/>
      <c r="O116" t="s">
        <v>553</v>
      </c>
      <c r="R116" t="s">
        <v>989</v>
      </c>
      <c r="T116" t="s">
        <v>1103</v>
      </c>
      <c r="U116">
        <v>75072010</v>
      </c>
      <c r="V116" t="s">
        <v>80</v>
      </c>
      <c r="W116" t="s">
        <v>1100</v>
      </c>
      <c r="X116" t="s">
        <v>1101</v>
      </c>
      <c r="Y116" t="s">
        <v>80</v>
      </c>
      <c r="Z116" t="s">
        <v>83</v>
      </c>
      <c r="AA116">
        <v>3128989929</v>
      </c>
      <c r="AB116" t="s">
        <v>1102</v>
      </c>
    </row>
    <row r="117" spans="1:28" x14ac:dyDescent="0.25">
      <c r="A117">
        <v>523</v>
      </c>
      <c r="B117">
        <v>29770801</v>
      </c>
      <c r="C117">
        <v>1250000</v>
      </c>
      <c r="D117">
        <v>3237500</v>
      </c>
      <c r="E117" t="s">
        <v>1105</v>
      </c>
      <c r="F117">
        <v>420875</v>
      </c>
      <c r="G117">
        <v>0.13</v>
      </c>
      <c r="H117" s="132">
        <v>45176</v>
      </c>
      <c r="I117" s="132">
        <v>45267</v>
      </c>
      <c r="J117" t="s">
        <v>1048</v>
      </c>
      <c r="K117">
        <v>0</v>
      </c>
      <c r="L117" s="125"/>
      <c r="N117" s="132"/>
      <c r="O117" t="s">
        <v>554</v>
      </c>
      <c r="R117" t="s">
        <v>988</v>
      </c>
      <c r="T117" t="s">
        <v>319</v>
      </c>
      <c r="U117">
        <v>29770801</v>
      </c>
      <c r="V117" t="s">
        <v>320</v>
      </c>
      <c r="W117" t="s">
        <v>321</v>
      </c>
      <c r="X117" t="s">
        <v>322</v>
      </c>
      <c r="Y117" t="s">
        <v>320</v>
      </c>
      <c r="Z117" t="s">
        <v>220</v>
      </c>
      <c r="AA117">
        <v>3177350102</v>
      </c>
      <c r="AB117" t="s">
        <v>323</v>
      </c>
    </row>
    <row r="118" spans="1:28" x14ac:dyDescent="0.25">
      <c r="A118" t="s">
        <v>1110</v>
      </c>
      <c r="B118">
        <v>4376580</v>
      </c>
      <c r="C118">
        <v>40000000</v>
      </c>
      <c r="D118">
        <v>57100000</v>
      </c>
      <c r="E118" t="s">
        <v>1111</v>
      </c>
      <c r="F118">
        <v>7423000</v>
      </c>
      <c r="G118">
        <v>0.13</v>
      </c>
      <c r="H118" s="132">
        <v>45011</v>
      </c>
      <c r="I118" s="132">
        <v>45103</v>
      </c>
      <c r="J118" t="s">
        <v>1048</v>
      </c>
      <c r="K118">
        <v>0</v>
      </c>
      <c r="L118" s="125"/>
      <c r="N118" s="132"/>
      <c r="R118" t="s">
        <v>989</v>
      </c>
      <c r="T118" t="s">
        <v>1106</v>
      </c>
      <c r="U118">
        <v>4376580</v>
      </c>
      <c r="V118" t="s">
        <v>114</v>
      </c>
      <c r="W118" t="s">
        <v>1107</v>
      </c>
      <c r="X118" t="s">
        <v>1108</v>
      </c>
      <c r="Y118" t="s">
        <v>938</v>
      </c>
      <c r="Z118" t="s">
        <v>73</v>
      </c>
      <c r="AA118">
        <v>3147516210</v>
      </c>
      <c r="AB118" t="s">
        <v>1109</v>
      </c>
    </row>
    <row r="119" spans="1:28" x14ac:dyDescent="0.25">
      <c r="A119">
        <v>524</v>
      </c>
      <c r="B119">
        <v>1089721086</v>
      </c>
      <c r="C119">
        <v>900000</v>
      </c>
      <c r="D119">
        <v>2751000</v>
      </c>
      <c r="E119" t="s">
        <v>1112</v>
      </c>
      <c r="F119">
        <v>357630</v>
      </c>
      <c r="G119">
        <v>0.13</v>
      </c>
      <c r="H119" s="132">
        <v>45181</v>
      </c>
      <c r="I119" s="132">
        <v>45272</v>
      </c>
      <c r="J119" t="s">
        <v>1048</v>
      </c>
      <c r="K119">
        <v>0</v>
      </c>
      <c r="L119" s="125">
        <v>45181</v>
      </c>
      <c r="N119" s="132"/>
      <c r="R119" t="s">
        <v>988</v>
      </c>
      <c r="T119" t="s">
        <v>426</v>
      </c>
      <c r="U119">
        <v>1089721086</v>
      </c>
      <c r="V119" t="s">
        <v>427</v>
      </c>
      <c r="W119" t="s">
        <v>428</v>
      </c>
      <c r="X119" t="s">
        <v>429</v>
      </c>
      <c r="Y119" t="s">
        <v>89</v>
      </c>
      <c r="Z119" t="s">
        <v>73</v>
      </c>
      <c r="AA119">
        <v>3229231452</v>
      </c>
      <c r="AB119" t="s">
        <v>430</v>
      </c>
    </row>
    <row r="120" spans="1:28" x14ac:dyDescent="0.25">
      <c r="A120">
        <v>525</v>
      </c>
      <c r="B120">
        <v>24954088</v>
      </c>
      <c r="C120">
        <v>100000</v>
      </c>
      <c r="D120">
        <v>1639000</v>
      </c>
      <c r="E120" t="s">
        <v>1017</v>
      </c>
      <c r="F120">
        <v>213070</v>
      </c>
      <c r="G120">
        <v>0.13</v>
      </c>
      <c r="H120" s="132">
        <v>45182</v>
      </c>
      <c r="I120" s="132">
        <v>45273</v>
      </c>
      <c r="J120" t="s">
        <v>1048</v>
      </c>
      <c r="K120">
        <v>0</v>
      </c>
      <c r="L120" s="125"/>
      <c r="N120" s="132"/>
      <c r="R120" t="s">
        <v>988</v>
      </c>
      <c r="T120" t="s">
        <v>595</v>
      </c>
      <c r="U120">
        <v>24954088</v>
      </c>
      <c r="V120" t="s">
        <v>72</v>
      </c>
      <c r="W120" t="s">
        <v>596</v>
      </c>
      <c r="X120" t="s">
        <v>597</v>
      </c>
      <c r="Y120" t="s">
        <v>72</v>
      </c>
      <c r="Z120" t="s">
        <v>73</v>
      </c>
      <c r="AA120">
        <v>3128651170</v>
      </c>
      <c r="AB120" t="s">
        <v>598</v>
      </c>
    </row>
    <row r="121" spans="1:28" x14ac:dyDescent="0.25">
      <c r="A121">
        <v>526</v>
      </c>
      <c r="B121">
        <v>10192256</v>
      </c>
      <c r="C121">
        <v>2500000</v>
      </c>
      <c r="D121">
        <v>4975000</v>
      </c>
      <c r="E121" t="s">
        <v>1015</v>
      </c>
      <c r="F121">
        <v>646750</v>
      </c>
      <c r="G121">
        <v>0.13</v>
      </c>
      <c r="H121" s="132">
        <v>45183</v>
      </c>
      <c r="I121" s="132">
        <v>45274</v>
      </c>
      <c r="J121" t="s">
        <v>640</v>
      </c>
      <c r="K121">
        <v>0</v>
      </c>
      <c r="L121" s="125"/>
      <c r="N121" s="132"/>
      <c r="R121" t="s">
        <v>988</v>
      </c>
      <c r="T121" t="s">
        <v>1124</v>
      </c>
      <c r="U121">
        <v>10192256</v>
      </c>
      <c r="V121" t="s">
        <v>387</v>
      </c>
      <c r="W121" t="s">
        <v>302</v>
      </c>
      <c r="X121" t="s">
        <v>303</v>
      </c>
      <c r="Y121" t="s">
        <v>72</v>
      </c>
      <c r="Z121" t="s">
        <v>73</v>
      </c>
      <c r="AA121">
        <v>3122956598</v>
      </c>
      <c r="AB121" t="s">
        <v>1125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6CE5E-D76F-413C-BBA8-FFE276FC6322}">
  <sheetPr codeName="Hoja5"/>
  <dimension ref="A1:H412"/>
  <sheetViews>
    <sheetView topLeftCell="A342" workbookViewId="0">
      <selection activeCell="F352" sqref="F352"/>
    </sheetView>
  </sheetViews>
  <sheetFormatPr baseColWidth="10" defaultRowHeight="15" x14ac:dyDescent="0.25"/>
  <cols>
    <col min="1" max="1" width="59" bestFit="1" customWidth="1"/>
    <col min="2" max="2" width="10.7109375" bestFit="1" customWidth="1"/>
    <col min="3" max="3" width="9.7109375" bestFit="1" customWidth="1"/>
    <col min="4" max="4" width="10.85546875" bestFit="1" customWidth="1"/>
    <col min="5" max="5" width="9.140625" bestFit="1" customWidth="1"/>
    <col min="6" max="6" width="14" bestFit="1" customWidth="1"/>
    <col min="7" max="7" width="41.42578125" bestFit="1" customWidth="1"/>
    <col min="8" max="8" width="16.140625" bestFit="1" customWidth="1"/>
  </cols>
  <sheetData>
    <row r="1" spans="1:8" x14ac:dyDescent="0.25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</row>
    <row r="2" spans="1:8" x14ac:dyDescent="0.25">
      <c r="A2" t="s">
        <v>650</v>
      </c>
      <c r="B2" s="125">
        <v>44939</v>
      </c>
      <c r="C2">
        <v>26000</v>
      </c>
      <c r="H2" t="s">
        <v>56</v>
      </c>
    </row>
    <row r="3" spans="1:8" x14ac:dyDescent="0.25">
      <c r="A3" t="s">
        <v>651</v>
      </c>
      <c r="B3" s="125">
        <v>44939</v>
      </c>
      <c r="C3">
        <v>50000</v>
      </c>
      <c r="H3" t="s">
        <v>56</v>
      </c>
    </row>
    <row r="4" spans="1:8" x14ac:dyDescent="0.25">
      <c r="A4" t="s">
        <v>652</v>
      </c>
      <c r="B4" s="125">
        <v>44942</v>
      </c>
      <c r="C4">
        <v>5000000</v>
      </c>
      <c r="H4" t="s">
        <v>56</v>
      </c>
    </row>
    <row r="5" spans="1:8" x14ac:dyDescent="0.25">
      <c r="A5" t="s">
        <v>653</v>
      </c>
      <c r="B5" s="125">
        <v>44942</v>
      </c>
      <c r="D5">
        <v>100000</v>
      </c>
      <c r="H5" t="s">
        <v>654</v>
      </c>
    </row>
    <row r="6" spans="1:8" x14ac:dyDescent="0.25">
      <c r="A6" t="s">
        <v>655</v>
      </c>
      <c r="B6" s="125">
        <v>44942</v>
      </c>
      <c r="D6">
        <v>-3500000</v>
      </c>
      <c r="H6" t="s">
        <v>656</v>
      </c>
    </row>
    <row r="7" spans="1:8" x14ac:dyDescent="0.25">
      <c r="A7" t="s">
        <v>657</v>
      </c>
      <c r="B7" s="125">
        <v>44942</v>
      </c>
      <c r="D7">
        <v>300000</v>
      </c>
      <c r="H7" t="s">
        <v>654</v>
      </c>
    </row>
    <row r="8" spans="1:8" x14ac:dyDescent="0.25">
      <c r="A8" t="s">
        <v>658</v>
      </c>
      <c r="B8" s="125">
        <v>44943</v>
      </c>
      <c r="D8">
        <v>60000</v>
      </c>
      <c r="H8" t="s">
        <v>654</v>
      </c>
    </row>
    <row r="9" spans="1:8" x14ac:dyDescent="0.25">
      <c r="A9" t="s">
        <v>659</v>
      </c>
      <c r="B9" s="125">
        <v>44944</v>
      </c>
      <c r="C9">
        <v>339000</v>
      </c>
      <c r="F9">
        <v>420</v>
      </c>
      <c r="H9" t="s">
        <v>56</v>
      </c>
    </row>
    <row r="10" spans="1:8" x14ac:dyDescent="0.25">
      <c r="A10" t="s">
        <v>660</v>
      </c>
      <c r="B10" s="125">
        <v>44944</v>
      </c>
      <c r="D10">
        <v>400000</v>
      </c>
      <c r="H10" t="s">
        <v>654</v>
      </c>
    </row>
    <row r="11" spans="1:8" x14ac:dyDescent="0.25">
      <c r="A11" t="s">
        <v>661</v>
      </c>
      <c r="B11" s="125">
        <v>44944</v>
      </c>
      <c r="D11">
        <v>123000</v>
      </c>
      <c r="H11" t="s">
        <v>654</v>
      </c>
    </row>
    <row r="12" spans="1:8" x14ac:dyDescent="0.25">
      <c r="A12" t="s">
        <v>658</v>
      </c>
      <c r="B12" s="125">
        <v>44944</v>
      </c>
      <c r="D12">
        <v>46000</v>
      </c>
      <c r="H12" t="s">
        <v>654</v>
      </c>
    </row>
    <row r="13" spans="1:8" x14ac:dyDescent="0.25">
      <c r="A13" t="s">
        <v>662</v>
      </c>
      <c r="B13" s="125">
        <v>44945</v>
      </c>
      <c r="D13">
        <v>2000000</v>
      </c>
      <c r="H13" t="s">
        <v>654</v>
      </c>
    </row>
    <row r="14" spans="1:8" x14ac:dyDescent="0.25">
      <c r="A14" t="s">
        <v>663</v>
      </c>
      <c r="B14" s="125">
        <v>44944</v>
      </c>
      <c r="D14">
        <v>100000</v>
      </c>
      <c r="H14" t="s">
        <v>664</v>
      </c>
    </row>
    <row r="15" spans="1:8" x14ac:dyDescent="0.25">
      <c r="A15" t="s">
        <v>665</v>
      </c>
      <c r="B15" s="125">
        <v>44945</v>
      </c>
      <c r="C15">
        <v>45000</v>
      </c>
      <c r="H15" t="s">
        <v>56</v>
      </c>
    </row>
    <row r="16" spans="1:8" x14ac:dyDescent="0.25">
      <c r="A16" t="s">
        <v>666</v>
      </c>
      <c r="B16" s="125">
        <v>44945</v>
      </c>
      <c r="D16">
        <v>20000</v>
      </c>
      <c r="G16" t="s">
        <v>667</v>
      </c>
      <c r="H16" t="s">
        <v>654</v>
      </c>
    </row>
    <row r="17" spans="1:8" x14ac:dyDescent="0.25">
      <c r="A17" t="s">
        <v>668</v>
      </c>
      <c r="B17" s="125">
        <v>44946</v>
      </c>
      <c r="D17">
        <v>1000000</v>
      </c>
      <c r="H17" t="s">
        <v>654</v>
      </c>
    </row>
    <row r="18" spans="1:8" x14ac:dyDescent="0.25">
      <c r="A18" t="s">
        <v>669</v>
      </c>
      <c r="B18" s="125">
        <v>44946</v>
      </c>
      <c r="C18">
        <v>130000</v>
      </c>
      <c r="H18" t="s">
        <v>56</v>
      </c>
    </row>
    <row r="19" spans="1:8" x14ac:dyDescent="0.25">
      <c r="A19" t="s">
        <v>670</v>
      </c>
      <c r="B19" s="125">
        <v>44946</v>
      </c>
      <c r="D19">
        <v>500000</v>
      </c>
      <c r="H19" t="s">
        <v>654</v>
      </c>
    </row>
    <row r="20" spans="1:8" x14ac:dyDescent="0.25">
      <c r="A20" t="s">
        <v>671</v>
      </c>
      <c r="B20" s="125">
        <v>44946</v>
      </c>
      <c r="D20">
        <v>300000</v>
      </c>
      <c r="H20" t="s">
        <v>654</v>
      </c>
    </row>
    <row r="21" spans="1:8" x14ac:dyDescent="0.25">
      <c r="A21" t="s">
        <v>672</v>
      </c>
      <c r="B21" s="125">
        <v>44949</v>
      </c>
      <c r="C21">
        <v>420700</v>
      </c>
      <c r="H21" t="s">
        <v>673</v>
      </c>
    </row>
    <row r="22" spans="1:8" x14ac:dyDescent="0.25">
      <c r="A22" t="s">
        <v>674</v>
      </c>
      <c r="B22" s="125">
        <v>44949</v>
      </c>
      <c r="D22">
        <v>98900</v>
      </c>
      <c r="H22" t="s">
        <v>675</v>
      </c>
    </row>
    <row r="23" spans="1:8" x14ac:dyDescent="0.25">
      <c r="A23" t="s">
        <v>676</v>
      </c>
      <c r="B23" s="125">
        <v>44949</v>
      </c>
      <c r="D23">
        <v>-13700</v>
      </c>
      <c r="H23" t="s">
        <v>677</v>
      </c>
    </row>
    <row r="24" spans="1:8" x14ac:dyDescent="0.25">
      <c r="A24" t="s">
        <v>666</v>
      </c>
      <c r="B24" s="125">
        <v>44949</v>
      </c>
      <c r="D24">
        <v>50000</v>
      </c>
      <c r="G24" t="s">
        <v>678</v>
      </c>
      <c r="H24" t="s">
        <v>654</v>
      </c>
    </row>
    <row r="25" spans="1:8" x14ac:dyDescent="0.25">
      <c r="A25" t="s">
        <v>679</v>
      </c>
      <c r="B25" s="125">
        <v>44949</v>
      </c>
      <c r="D25">
        <v>32300</v>
      </c>
      <c r="H25" t="s">
        <v>654</v>
      </c>
    </row>
    <row r="26" spans="1:8" x14ac:dyDescent="0.25">
      <c r="A26" t="s">
        <v>666</v>
      </c>
      <c r="B26" s="125">
        <v>44956</v>
      </c>
      <c r="D26">
        <v>4000</v>
      </c>
      <c r="G26" t="s">
        <v>680</v>
      </c>
      <c r="H26" t="s">
        <v>654</v>
      </c>
    </row>
    <row r="27" spans="1:8" x14ac:dyDescent="0.25">
      <c r="A27" t="s">
        <v>681</v>
      </c>
      <c r="B27" s="125">
        <v>44957</v>
      </c>
      <c r="C27">
        <v>2260000</v>
      </c>
      <c r="F27">
        <v>425</v>
      </c>
      <c r="H27" t="s">
        <v>56</v>
      </c>
    </row>
    <row r="28" spans="1:8" x14ac:dyDescent="0.25">
      <c r="A28" t="s">
        <v>682</v>
      </c>
      <c r="B28" s="125">
        <v>44957</v>
      </c>
      <c r="D28">
        <v>100000</v>
      </c>
      <c r="H28" t="s">
        <v>664</v>
      </c>
    </row>
    <row r="29" spans="1:8" x14ac:dyDescent="0.25">
      <c r="A29" t="s">
        <v>683</v>
      </c>
      <c r="B29" s="125">
        <v>44957</v>
      </c>
      <c r="D29">
        <v>406000</v>
      </c>
      <c r="H29" t="s">
        <v>684</v>
      </c>
    </row>
    <row r="30" spans="1:8" x14ac:dyDescent="0.25">
      <c r="A30" t="s">
        <v>685</v>
      </c>
      <c r="B30" s="125">
        <v>44957</v>
      </c>
      <c r="C30">
        <v>86000</v>
      </c>
      <c r="G30" t="s">
        <v>686</v>
      </c>
      <c r="H30" t="s">
        <v>56</v>
      </c>
    </row>
    <row r="31" spans="1:8" x14ac:dyDescent="0.25">
      <c r="A31" t="s">
        <v>687</v>
      </c>
      <c r="B31" s="125">
        <v>44957</v>
      </c>
      <c r="D31">
        <v>580000</v>
      </c>
      <c r="H31" t="s">
        <v>684</v>
      </c>
    </row>
    <row r="32" spans="1:8" x14ac:dyDescent="0.25">
      <c r="A32" t="s">
        <v>688</v>
      </c>
      <c r="B32" s="125">
        <v>44957</v>
      </c>
      <c r="C32">
        <v>57000</v>
      </c>
      <c r="H32" t="s">
        <v>56</v>
      </c>
    </row>
    <row r="33" spans="1:8" x14ac:dyDescent="0.25">
      <c r="A33" t="s">
        <v>689</v>
      </c>
      <c r="B33" s="125">
        <v>44957</v>
      </c>
      <c r="C33">
        <v>20000</v>
      </c>
      <c r="G33" t="s">
        <v>690</v>
      </c>
      <c r="H33" t="s">
        <v>56</v>
      </c>
    </row>
    <row r="34" spans="1:8" x14ac:dyDescent="0.25">
      <c r="A34" t="s">
        <v>691</v>
      </c>
      <c r="B34" s="125"/>
      <c r="C34">
        <v>8433700</v>
      </c>
      <c r="D34">
        <v>2706500</v>
      </c>
      <c r="H34">
        <v>32</v>
      </c>
    </row>
    <row r="35" spans="1:8" x14ac:dyDescent="0.25">
      <c r="A35" t="s">
        <v>692</v>
      </c>
      <c r="B35" s="125">
        <v>44958</v>
      </c>
      <c r="D35">
        <v>1000000</v>
      </c>
      <c r="H35" t="s">
        <v>654</v>
      </c>
    </row>
    <row r="36" spans="1:8" x14ac:dyDescent="0.25">
      <c r="A36" t="s">
        <v>693</v>
      </c>
      <c r="B36" s="125">
        <v>44959</v>
      </c>
      <c r="D36">
        <v>13000</v>
      </c>
      <c r="H36" t="s">
        <v>677</v>
      </c>
    </row>
    <row r="37" spans="1:8" x14ac:dyDescent="0.25">
      <c r="A37" t="s">
        <v>694</v>
      </c>
      <c r="B37" s="125">
        <v>44959</v>
      </c>
      <c r="D37">
        <v>18500</v>
      </c>
      <c r="H37" t="s">
        <v>677</v>
      </c>
    </row>
    <row r="38" spans="1:8" x14ac:dyDescent="0.25">
      <c r="A38" t="s">
        <v>695</v>
      </c>
      <c r="B38" s="125">
        <v>44960</v>
      </c>
      <c r="D38">
        <v>50000</v>
      </c>
      <c r="H38" t="s">
        <v>233</v>
      </c>
    </row>
    <row r="39" spans="1:8" x14ac:dyDescent="0.25">
      <c r="A39" t="s">
        <v>696</v>
      </c>
      <c r="B39" s="125">
        <v>44960</v>
      </c>
      <c r="C39">
        <v>452000</v>
      </c>
      <c r="F39" t="s">
        <v>10</v>
      </c>
      <c r="H39" t="s">
        <v>56</v>
      </c>
    </row>
    <row r="40" spans="1:8" x14ac:dyDescent="0.25">
      <c r="A40" t="s">
        <v>655</v>
      </c>
      <c r="B40" s="125">
        <v>44963</v>
      </c>
      <c r="D40">
        <v>1000000</v>
      </c>
      <c r="H40" t="s">
        <v>656</v>
      </c>
    </row>
    <row r="41" spans="1:8" x14ac:dyDescent="0.25">
      <c r="A41" t="s">
        <v>697</v>
      </c>
      <c r="B41" s="125">
        <v>44964</v>
      </c>
      <c r="C41">
        <v>259400</v>
      </c>
      <c r="E41">
        <v>513000</v>
      </c>
      <c r="H41" t="s">
        <v>56</v>
      </c>
    </row>
    <row r="42" spans="1:8" x14ac:dyDescent="0.25">
      <c r="A42" t="s">
        <v>698</v>
      </c>
      <c r="B42" s="125">
        <v>44964</v>
      </c>
      <c r="D42">
        <v>200000</v>
      </c>
      <c r="H42" t="s">
        <v>654</v>
      </c>
    </row>
    <row r="43" spans="1:8" x14ac:dyDescent="0.25">
      <c r="A43" t="s">
        <v>699</v>
      </c>
      <c r="B43" s="125">
        <v>44964</v>
      </c>
      <c r="C43">
        <v>1302000</v>
      </c>
      <c r="F43" t="s">
        <v>30</v>
      </c>
      <c r="H43" t="s">
        <v>56</v>
      </c>
    </row>
    <row r="44" spans="1:8" x14ac:dyDescent="0.25">
      <c r="A44" t="s">
        <v>700</v>
      </c>
      <c r="B44" s="125">
        <v>44964</v>
      </c>
      <c r="D44">
        <v>926850</v>
      </c>
      <c r="H44" t="s">
        <v>654</v>
      </c>
    </row>
    <row r="45" spans="1:8" x14ac:dyDescent="0.25">
      <c r="A45" t="s">
        <v>701</v>
      </c>
      <c r="B45" s="125">
        <v>44964</v>
      </c>
      <c r="D45">
        <v>1000000</v>
      </c>
      <c r="H45" t="s">
        <v>654</v>
      </c>
    </row>
    <row r="46" spans="1:8" x14ac:dyDescent="0.25">
      <c r="A46" t="s">
        <v>702</v>
      </c>
      <c r="B46" s="125">
        <v>44965</v>
      </c>
      <c r="C46">
        <v>1916000</v>
      </c>
      <c r="F46">
        <v>424</v>
      </c>
      <c r="H46" t="s">
        <v>56</v>
      </c>
    </row>
    <row r="47" spans="1:8" x14ac:dyDescent="0.25">
      <c r="A47" t="s">
        <v>703</v>
      </c>
      <c r="B47" s="125">
        <v>44965</v>
      </c>
      <c r="D47">
        <v>680000</v>
      </c>
      <c r="H47" t="s">
        <v>675</v>
      </c>
    </row>
    <row r="48" spans="1:8" x14ac:dyDescent="0.25">
      <c r="A48" t="s">
        <v>704</v>
      </c>
      <c r="B48" s="125">
        <v>44965</v>
      </c>
      <c r="D48">
        <v>700000</v>
      </c>
      <c r="H48" t="s">
        <v>654</v>
      </c>
    </row>
    <row r="49" spans="1:8" x14ac:dyDescent="0.25">
      <c r="A49" t="s">
        <v>692</v>
      </c>
      <c r="B49" s="125">
        <v>44966</v>
      </c>
      <c r="D49">
        <v>500000</v>
      </c>
      <c r="H49" t="s">
        <v>654</v>
      </c>
    </row>
    <row r="50" spans="1:8" x14ac:dyDescent="0.25">
      <c r="A50" t="s">
        <v>705</v>
      </c>
      <c r="B50" s="125">
        <v>44967</v>
      </c>
      <c r="D50">
        <v>120000</v>
      </c>
      <c r="H50" t="s">
        <v>706</v>
      </c>
    </row>
    <row r="51" spans="1:8" x14ac:dyDescent="0.25">
      <c r="A51" t="s">
        <v>707</v>
      </c>
      <c r="B51" s="125">
        <v>44967</v>
      </c>
      <c r="C51">
        <v>2000000</v>
      </c>
      <c r="H51" t="s">
        <v>708</v>
      </c>
    </row>
    <row r="52" spans="1:8" x14ac:dyDescent="0.25">
      <c r="A52" t="s">
        <v>709</v>
      </c>
      <c r="B52" s="125">
        <v>44970</v>
      </c>
      <c r="D52">
        <v>1000000</v>
      </c>
      <c r="H52" t="s">
        <v>654</v>
      </c>
    </row>
    <row r="53" spans="1:8" x14ac:dyDescent="0.25">
      <c r="A53" t="s">
        <v>710</v>
      </c>
      <c r="B53" s="125">
        <v>44970</v>
      </c>
      <c r="C53">
        <v>1746500</v>
      </c>
      <c r="F53">
        <v>507</v>
      </c>
      <c r="H53" t="s">
        <v>56</v>
      </c>
    </row>
    <row r="54" spans="1:8" x14ac:dyDescent="0.25">
      <c r="A54" t="s">
        <v>711</v>
      </c>
      <c r="B54" s="125">
        <v>44970</v>
      </c>
      <c r="D54">
        <v>5000000</v>
      </c>
      <c r="H54" t="s">
        <v>654</v>
      </c>
    </row>
    <row r="55" spans="1:8" x14ac:dyDescent="0.25">
      <c r="A55" t="s">
        <v>663</v>
      </c>
      <c r="B55" s="125">
        <v>44970</v>
      </c>
      <c r="D55">
        <v>50000</v>
      </c>
      <c r="H55" t="s">
        <v>664</v>
      </c>
    </row>
    <row r="56" spans="1:8" x14ac:dyDescent="0.25">
      <c r="A56" t="s">
        <v>712</v>
      </c>
      <c r="B56" s="125">
        <v>44970</v>
      </c>
      <c r="C56">
        <v>13115000</v>
      </c>
      <c r="H56" t="s">
        <v>56</v>
      </c>
    </row>
    <row r="57" spans="1:8" x14ac:dyDescent="0.25">
      <c r="A57" t="s">
        <v>713</v>
      </c>
      <c r="B57" s="125">
        <v>44971</v>
      </c>
      <c r="D57">
        <v>1040000</v>
      </c>
      <c r="H57" t="s">
        <v>714</v>
      </c>
    </row>
    <row r="58" spans="1:8" x14ac:dyDescent="0.25">
      <c r="A58" t="s">
        <v>715</v>
      </c>
      <c r="B58" s="125">
        <v>44972</v>
      </c>
      <c r="C58">
        <v>1000000</v>
      </c>
      <c r="H58" t="s">
        <v>708</v>
      </c>
    </row>
    <row r="59" spans="1:8" x14ac:dyDescent="0.25">
      <c r="A59" t="s">
        <v>716</v>
      </c>
      <c r="B59" s="125">
        <v>44972</v>
      </c>
      <c r="D59">
        <v>1000000</v>
      </c>
      <c r="H59" t="s">
        <v>654</v>
      </c>
    </row>
    <row r="60" spans="1:8" x14ac:dyDescent="0.25">
      <c r="A60" t="s">
        <v>717</v>
      </c>
      <c r="B60" s="125">
        <v>44972</v>
      </c>
      <c r="D60">
        <v>290000</v>
      </c>
      <c r="H60" t="s">
        <v>684</v>
      </c>
    </row>
    <row r="61" spans="1:8" x14ac:dyDescent="0.25">
      <c r="A61" t="s">
        <v>718</v>
      </c>
      <c r="B61" s="125">
        <v>44972</v>
      </c>
      <c r="C61">
        <v>40000</v>
      </c>
      <c r="E61">
        <v>48000</v>
      </c>
      <c r="H61" t="s">
        <v>56</v>
      </c>
    </row>
    <row r="62" spans="1:8" x14ac:dyDescent="0.25">
      <c r="A62" t="s">
        <v>719</v>
      </c>
      <c r="B62" s="125">
        <v>44972</v>
      </c>
      <c r="D62">
        <v>580000</v>
      </c>
      <c r="H62" t="s">
        <v>684</v>
      </c>
    </row>
    <row r="63" spans="1:8" x14ac:dyDescent="0.25">
      <c r="A63" t="s">
        <v>689</v>
      </c>
      <c r="B63" s="125">
        <v>44972</v>
      </c>
      <c r="C63">
        <v>50000</v>
      </c>
      <c r="E63">
        <v>150000</v>
      </c>
      <c r="H63" t="s">
        <v>56</v>
      </c>
    </row>
    <row r="64" spans="1:8" x14ac:dyDescent="0.25">
      <c r="A64" t="s">
        <v>720</v>
      </c>
      <c r="B64" s="125">
        <v>44972</v>
      </c>
      <c r="C64">
        <v>56000</v>
      </c>
      <c r="H64" t="s">
        <v>56</v>
      </c>
    </row>
    <row r="65" spans="1:8" x14ac:dyDescent="0.25">
      <c r="A65" t="s">
        <v>721</v>
      </c>
      <c r="B65" s="125">
        <v>44973</v>
      </c>
      <c r="C65">
        <v>745500</v>
      </c>
      <c r="H65" t="s">
        <v>56</v>
      </c>
    </row>
    <row r="66" spans="1:8" x14ac:dyDescent="0.25">
      <c r="A66" t="s">
        <v>722</v>
      </c>
      <c r="B66" s="125">
        <v>44973</v>
      </c>
      <c r="C66">
        <v>268000</v>
      </c>
      <c r="H66" t="s">
        <v>56</v>
      </c>
    </row>
    <row r="67" spans="1:8" x14ac:dyDescent="0.25">
      <c r="A67" t="s">
        <v>723</v>
      </c>
      <c r="B67" s="125">
        <v>44974</v>
      </c>
      <c r="D67">
        <v>500000</v>
      </c>
      <c r="H67" t="s">
        <v>654</v>
      </c>
    </row>
    <row r="68" spans="1:8" x14ac:dyDescent="0.25">
      <c r="A68" t="s">
        <v>724</v>
      </c>
      <c r="B68" s="125">
        <v>44974</v>
      </c>
      <c r="D68">
        <v>1000000</v>
      </c>
      <c r="H68" t="s">
        <v>654</v>
      </c>
    </row>
    <row r="69" spans="1:8" x14ac:dyDescent="0.25">
      <c r="A69" t="s">
        <v>725</v>
      </c>
      <c r="B69" s="125">
        <v>44974</v>
      </c>
      <c r="D69">
        <v>500000</v>
      </c>
      <c r="H69" t="s">
        <v>654</v>
      </c>
    </row>
    <row r="70" spans="1:8" x14ac:dyDescent="0.25">
      <c r="A70" t="s">
        <v>726</v>
      </c>
      <c r="B70" s="125">
        <v>44977</v>
      </c>
      <c r="D70">
        <v>720000</v>
      </c>
      <c r="H70" t="s">
        <v>708</v>
      </c>
    </row>
    <row r="71" spans="1:8" x14ac:dyDescent="0.25">
      <c r="A71" t="s">
        <v>668</v>
      </c>
      <c r="B71" s="125">
        <v>44979</v>
      </c>
      <c r="D71">
        <v>1000000</v>
      </c>
      <c r="H71" t="s">
        <v>654</v>
      </c>
    </row>
    <row r="72" spans="1:8" x14ac:dyDescent="0.25">
      <c r="A72" t="s">
        <v>727</v>
      </c>
      <c r="B72" s="125">
        <v>44977</v>
      </c>
      <c r="D72">
        <v>50000</v>
      </c>
      <c r="H72" t="s">
        <v>728</v>
      </c>
    </row>
    <row r="73" spans="1:8" x14ac:dyDescent="0.25">
      <c r="A73" t="s">
        <v>1055</v>
      </c>
      <c r="B73" s="125">
        <v>44977</v>
      </c>
      <c r="C73">
        <v>2000000</v>
      </c>
      <c r="H73" t="s">
        <v>714</v>
      </c>
    </row>
    <row r="74" spans="1:8" x14ac:dyDescent="0.25">
      <c r="A74" t="s">
        <v>729</v>
      </c>
      <c r="B74" s="125">
        <v>44977</v>
      </c>
      <c r="D74">
        <v>147800</v>
      </c>
      <c r="H74" t="s">
        <v>675</v>
      </c>
    </row>
    <row r="75" spans="1:8" x14ac:dyDescent="0.25">
      <c r="A75" t="s">
        <v>730</v>
      </c>
      <c r="B75" s="125">
        <v>44977</v>
      </c>
      <c r="C75">
        <v>2260000</v>
      </c>
      <c r="F75">
        <v>422</v>
      </c>
      <c r="H75" t="s">
        <v>56</v>
      </c>
    </row>
    <row r="76" spans="1:8" x14ac:dyDescent="0.25">
      <c r="A76" t="s">
        <v>663</v>
      </c>
      <c r="B76" s="125">
        <v>44978</v>
      </c>
      <c r="D76">
        <v>100000</v>
      </c>
      <c r="H76" t="s">
        <v>664</v>
      </c>
    </row>
    <row r="77" spans="1:8" x14ac:dyDescent="0.25">
      <c r="A77" t="s">
        <v>679</v>
      </c>
      <c r="B77" s="125">
        <v>44979</v>
      </c>
      <c r="D77">
        <v>32300</v>
      </c>
      <c r="H77" t="s">
        <v>654</v>
      </c>
    </row>
    <row r="78" spans="1:8" x14ac:dyDescent="0.25">
      <c r="A78" t="s">
        <v>731</v>
      </c>
      <c r="B78" s="125">
        <v>44979</v>
      </c>
      <c r="D78">
        <v>2500000</v>
      </c>
      <c r="H78" t="s">
        <v>654</v>
      </c>
    </row>
    <row r="79" spans="1:8" x14ac:dyDescent="0.25">
      <c r="A79" t="s">
        <v>666</v>
      </c>
      <c r="B79" s="125">
        <v>44979</v>
      </c>
      <c r="D79">
        <v>10000</v>
      </c>
      <c r="H79" t="s">
        <v>654</v>
      </c>
    </row>
    <row r="80" spans="1:8" x14ac:dyDescent="0.25">
      <c r="A80" t="s">
        <v>732</v>
      </c>
      <c r="B80" s="125">
        <v>44980</v>
      </c>
      <c r="D80">
        <v>167100</v>
      </c>
      <c r="H80" t="s">
        <v>675</v>
      </c>
    </row>
    <row r="81" spans="1:8" x14ac:dyDescent="0.25">
      <c r="A81" t="s">
        <v>733</v>
      </c>
      <c r="B81" s="125">
        <v>44981</v>
      </c>
      <c r="C81">
        <v>1130000</v>
      </c>
      <c r="H81" t="s">
        <v>56</v>
      </c>
    </row>
    <row r="82" spans="1:8" x14ac:dyDescent="0.25">
      <c r="A82" t="s">
        <v>734</v>
      </c>
      <c r="B82" s="125">
        <v>44981</v>
      </c>
      <c r="C82">
        <v>1065000</v>
      </c>
      <c r="H82" t="s">
        <v>56</v>
      </c>
    </row>
    <row r="83" spans="1:8" x14ac:dyDescent="0.25">
      <c r="A83" t="s">
        <v>672</v>
      </c>
      <c r="B83" s="125">
        <v>44981</v>
      </c>
      <c r="C83">
        <v>701649</v>
      </c>
      <c r="H83" t="s">
        <v>673</v>
      </c>
    </row>
    <row r="84" spans="1:8" x14ac:dyDescent="0.25">
      <c r="A84" t="s">
        <v>735</v>
      </c>
      <c r="B84" s="125">
        <v>44981</v>
      </c>
      <c r="D84">
        <v>291300</v>
      </c>
      <c r="H84" t="s">
        <v>654</v>
      </c>
    </row>
    <row r="85" spans="1:8" x14ac:dyDescent="0.25">
      <c r="A85" t="s">
        <v>1056</v>
      </c>
      <c r="B85" s="125">
        <v>44981</v>
      </c>
      <c r="D85">
        <v>1000000</v>
      </c>
      <c r="H85" t="s">
        <v>714</v>
      </c>
    </row>
    <row r="86" spans="1:8" x14ac:dyDescent="0.25">
      <c r="A86" t="s">
        <v>736</v>
      </c>
      <c r="B86" s="125">
        <v>44984</v>
      </c>
      <c r="D86">
        <v>60000</v>
      </c>
      <c r="H86" t="s">
        <v>677</v>
      </c>
    </row>
    <row r="87" spans="1:8" x14ac:dyDescent="0.25">
      <c r="A87" t="s">
        <v>666</v>
      </c>
      <c r="B87" s="125">
        <v>44984</v>
      </c>
      <c r="D87">
        <v>20000</v>
      </c>
      <c r="H87" t="s">
        <v>654</v>
      </c>
    </row>
    <row r="88" spans="1:8" x14ac:dyDescent="0.25">
      <c r="A88" t="s">
        <v>737</v>
      </c>
      <c r="B88" s="125">
        <v>44985</v>
      </c>
      <c r="D88">
        <v>290000</v>
      </c>
      <c r="H88" t="s">
        <v>738</v>
      </c>
    </row>
    <row r="89" spans="1:8" x14ac:dyDescent="0.25">
      <c r="A89" t="s">
        <v>739</v>
      </c>
      <c r="B89" s="125">
        <v>44985</v>
      </c>
      <c r="C89">
        <v>78000</v>
      </c>
      <c r="E89">
        <v>0</v>
      </c>
      <c r="H89" t="s">
        <v>56</v>
      </c>
    </row>
    <row r="90" spans="1:8" x14ac:dyDescent="0.25">
      <c r="A90" t="s">
        <v>719</v>
      </c>
      <c r="B90" s="125">
        <v>44985</v>
      </c>
      <c r="D90">
        <v>580000</v>
      </c>
      <c r="H90" t="s">
        <v>684</v>
      </c>
    </row>
    <row r="91" spans="1:8" x14ac:dyDescent="0.25">
      <c r="A91" t="s">
        <v>689</v>
      </c>
      <c r="B91" s="125">
        <v>44985</v>
      </c>
      <c r="C91">
        <v>50000</v>
      </c>
      <c r="E91">
        <v>100000</v>
      </c>
      <c r="H91" t="s">
        <v>56</v>
      </c>
    </row>
    <row r="92" spans="1:8" x14ac:dyDescent="0.25">
      <c r="A92" t="s">
        <v>740</v>
      </c>
      <c r="B92" s="125">
        <v>44985</v>
      </c>
      <c r="D92">
        <v>50000</v>
      </c>
      <c r="E92">
        <v>150000</v>
      </c>
      <c r="H92" t="s">
        <v>654</v>
      </c>
    </row>
    <row r="93" spans="1:8" x14ac:dyDescent="0.25">
      <c r="A93" t="s">
        <v>741</v>
      </c>
      <c r="B93" s="125">
        <v>44985</v>
      </c>
      <c r="C93">
        <v>200000</v>
      </c>
      <c r="H93" t="s">
        <v>56</v>
      </c>
    </row>
    <row r="94" spans="1:8" x14ac:dyDescent="0.25">
      <c r="A94" t="s">
        <v>742</v>
      </c>
      <c r="B94" s="125">
        <v>44985</v>
      </c>
      <c r="C94">
        <v>600000</v>
      </c>
      <c r="H94" t="s">
        <v>56</v>
      </c>
    </row>
    <row r="95" spans="1:8" x14ac:dyDescent="0.25">
      <c r="A95" t="s">
        <v>743</v>
      </c>
      <c r="B95" s="125">
        <v>44986</v>
      </c>
      <c r="D95">
        <v>2000000</v>
      </c>
      <c r="H95" t="s">
        <v>654</v>
      </c>
    </row>
    <row r="96" spans="1:8" x14ac:dyDescent="0.25">
      <c r="A96" t="s">
        <v>744</v>
      </c>
      <c r="B96" s="125">
        <v>44986</v>
      </c>
      <c r="D96">
        <v>500000</v>
      </c>
      <c r="H96" t="s">
        <v>654</v>
      </c>
    </row>
    <row r="97" spans="1:8" x14ac:dyDescent="0.25">
      <c r="A97" t="s">
        <v>745</v>
      </c>
      <c r="B97" s="125">
        <v>44987</v>
      </c>
      <c r="C97">
        <v>5650000</v>
      </c>
      <c r="H97" t="s">
        <v>56</v>
      </c>
    </row>
    <row r="98" spans="1:8" x14ac:dyDescent="0.25">
      <c r="A98" t="s">
        <v>746</v>
      </c>
      <c r="B98" s="125">
        <v>44987</v>
      </c>
      <c r="C98">
        <v>5200000</v>
      </c>
      <c r="H98" t="s">
        <v>56</v>
      </c>
    </row>
    <row r="99" spans="1:8" x14ac:dyDescent="0.25">
      <c r="A99" t="s">
        <v>747</v>
      </c>
      <c r="B99" s="125">
        <v>44988</v>
      </c>
      <c r="C99">
        <v>378000</v>
      </c>
      <c r="H99" t="s">
        <v>56</v>
      </c>
    </row>
    <row r="100" spans="1:8" x14ac:dyDescent="0.25">
      <c r="A100" t="s">
        <v>748</v>
      </c>
      <c r="B100" s="125">
        <v>44988</v>
      </c>
      <c r="D100">
        <v>204650</v>
      </c>
      <c r="H100" t="s">
        <v>654</v>
      </c>
    </row>
    <row r="101" spans="1:8" x14ac:dyDescent="0.25">
      <c r="A101" t="s">
        <v>965</v>
      </c>
      <c r="B101" s="125">
        <v>44988</v>
      </c>
      <c r="D101">
        <v>561800</v>
      </c>
      <c r="H101" t="s">
        <v>675</v>
      </c>
    </row>
    <row r="102" spans="1:8" x14ac:dyDescent="0.25">
      <c r="A102" t="s">
        <v>749</v>
      </c>
      <c r="B102" s="125">
        <v>44988</v>
      </c>
      <c r="D102">
        <v>39000</v>
      </c>
      <c r="H102" t="s">
        <v>677</v>
      </c>
    </row>
    <row r="103" spans="1:8" x14ac:dyDescent="0.25">
      <c r="A103" t="s">
        <v>750</v>
      </c>
      <c r="B103" s="125">
        <v>44991</v>
      </c>
      <c r="D103">
        <v>1000000</v>
      </c>
      <c r="H103" t="s">
        <v>654</v>
      </c>
    </row>
    <row r="104" spans="1:8" x14ac:dyDescent="0.25">
      <c r="A104" t="s">
        <v>653</v>
      </c>
      <c r="B104" s="125">
        <v>44991</v>
      </c>
      <c r="D104">
        <v>100000</v>
      </c>
      <c r="H104" t="s">
        <v>654</v>
      </c>
    </row>
    <row r="105" spans="1:8" x14ac:dyDescent="0.25">
      <c r="A105" t="s">
        <v>751</v>
      </c>
      <c r="B105" s="125">
        <v>44991</v>
      </c>
      <c r="D105">
        <v>13500</v>
      </c>
      <c r="G105" t="s">
        <v>752</v>
      </c>
      <c r="H105" t="s">
        <v>654</v>
      </c>
    </row>
    <row r="106" spans="1:8" x14ac:dyDescent="0.25">
      <c r="A106" t="s">
        <v>753</v>
      </c>
      <c r="B106" s="125">
        <v>44993</v>
      </c>
      <c r="C106">
        <v>50000</v>
      </c>
      <c r="E106">
        <v>0</v>
      </c>
      <c r="H106" t="s">
        <v>56</v>
      </c>
    </row>
    <row r="107" spans="1:8" x14ac:dyDescent="0.25">
      <c r="A107" t="s">
        <v>754</v>
      </c>
      <c r="B107" s="125">
        <v>44993</v>
      </c>
      <c r="D107">
        <v>155600</v>
      </c>
      <c r="H107" t="s">
        <v>233</v>
      </c>
    </row>
    <row r="108" spans="1:8" x14ac:dyDescent="0.25">
      <c r="A108" t="s">
        <v>755</v>
      </c>
      <c r="B108" s="125">
        <v>44994</v>
      </c>
      <c r="D108">
        <v>50000</v>
      </c>
      <c r="H108" t="s">
        <v>664</v>
      </c>
    </row>
    <row r="109" spans="1:8" x14ac:dyDescent="0.25">
      <c r="A109" t="s">
        <v>756</v>
      </c>
      <c r="B109" s="125">
        <v>44995</v>
      </c>
      <c r="D109">
        <v>350000</v>
      </c>
      <c r="H109" t="s">
        <v>654</v>
      </c>
    </row>
    <row r="110" spans="1:8" x14ac:dyDescent="0.25">
      <c r="A110" t="s">
        <v>757</v>
      </c>
      <c r="B110" s="125">
        <v>44995</v>
      </c>
      <c r="D110">
        <v>150000</v>
      </c>
      <c r="H110" t="s">
        <v>706</v>
      </c>
    </row>
    <row r="111" spans="1:8" x14ac:dyDescent="0.25">
      <c r="A111" t="s">
        <v>758</v>
      </c>
      <c r="B111" s="125">
        <v>44998</v>
      </c>
      <c r="C111">
        <v>2260000</v>
      </c>
      <c r="H111" t="s">
        <v>56</v>
      </c>
    </row>
    <row r="112" spans="1:8" x14ac:dyDescent="0.25">
      <c r="A112" t="s">
        <v>759</v>
      </c>
      <c r="B112" s="125">
        <v>44998</v>
      </c>
      <c r="C112">
        <v>190000</v>
      </c>
      <c r="H112" t="s">
        <v>56</v>
      </c>
    </row>
    <row r="113" spans="1:8" x14ac:dyDescent="0.25">
      <c r="A113" t="s">
        <v>760</v>
      </c>
      <c r="B113" s="125">
        <v>44998</v>
      </c>
      <c r="C113">
        <v>1000000</v>
      </c>
      <c r="H113" t="s">
        <v>56</v>
      </c>
    </row>
    <row r="114" spans="1:8" x14ac:dyDescent="0.25">
      <c r="A114" t="s">
        <v>761</v>
      </c>
      <c r="B114" s="125">
        <v>44998</v>
      </c>
      <c r="D114">
        <v>1000000</v>
      </c>
      <c r="H114" t="s">
        <v>654</v>
      </c>
    </row>
    <row r="115" spans="1:8" x14ac:dyDescent="0.25">
      <c r="A115" t="s">
        <v>762</v>
      </c>
      <c r="B115" s="125">
        <v>44998</v>
      </c>
      <c r="D115">
        <v>1000000</v>
      </c>
      <c r="H115" t="s">
        <v>654</v>
      </c>
    </row>
    <row r="116" spans="1:8" x14ac:dyDescent="0.25">
      <c r="A116" t="s">
        <v>763</v>
      </c>
      <c r="B116" s="125">
        <v>44999</v>
      </c>
      <c r="D116">
        <v>60000</v>
      </c>
      <c r="H116" t="s">
        <v>764</v>
      </c>
    </row>
    <row r="117" spans="1:8" x14ac:dyDescent="0.25">
      <c r="A117" t="s">
        <v>653</v>
      </c>
      <c r="B117" s="125">
        <v>45000</v>
      </c>
      <c r="D117">
        <v>242000</v>
      </c>
      <c r="H117" t="s">
        <v>654</v>
      </c>
    </row>
    <row r="118" spans="1:8" x14ac:dyDescent="0.25">
      <c r="A118" t="s">
        <v>765</v>
      </c>
      <c r="B118" s="125">
        <v>45000</v>
      </c>
      <c r="D118">
        <v>242000</v>
      </c>
      <c r="H118" t="s">
        <v>654</v>
      </c>
    </row>
    <row r="119" spans="1:8" x14ac:dyDescent="0.25">
      <c r="A119" t="s">
        <v>766</v>
      </c>
      <c r="B119" s="125">
        <v>45000</v>
      </c>
      <c r="D119">
        <v>638000</v>
      </c>
      <c r="H119" t="s">
        <v>56</v>
      </c>
    </row>
    <row r="120" spans="1:8" x14ac:dyDescent="0.25">
      <c r="A120" t="s">
        <v>767</v>
      </c>
      <c r="B120" s="125">
        <v>45000</v>
      </c>
      <c r="C120">
        <v>50000</v>
      </c>
      <c r="E120">
        <v>100000</v>
      </c>
      <c r="H120" t="s">
        <v>768</v>
      </c>
    </row>
    <row r="121" spans="1:8" x14ac:dyDescent="0.25">
      <c r="A121" t="s">
        <v>720</v>
      </c>
      <c r="B121" s="125">
        <v>45000</v>
      </c>
      <c r="C121">
        <v>33000</v>
      </c>
      <c r="H121" t="s">
        <v>56</v>
      </c>
    </row>
    <row r="122" spans="1:8" x14ac:dyDescent="0.25">
      <c r="A122" t="s">
        <v>769</v>
      </c>
      <c r="B122" s="125">
        <v>45000</v>
      </c>
      <c r="D122">
        <v>290000</v>
      </c>
      <c r="H122" t="s">
        <v>56</v>
      </c>
    </row>
    <row r="123" spans="1:8" x14ac:dyDescent="0.25">
      <c r="A123" t="s">
        <v>770</v>
      </c>
      <c r="B123" s="125">
        <v>45002</v>
      </c>
      <c r="D123">
        <v>125000</v>
      </c>
      <c r="H123" t="s">
        <v>56</v>
      </c>
    </row>
    <row r="124" spans="1:8" x14ac:dyDescent="0.25">
      <c r="A124" t="s">
        <v>771</v>
      </c>
      <c r="B124" s="125">
        <v>45002</v>
      </c>
      <c r="D124">
        <v>1000000</v>
      </c>
      <c r="H124" t="s">
        <v>654</v>
      </c>
    </row>
    <row r="125" spans="1:8" x14ac:dyDescent="0.25">
      <c r="A125" t="s">
        <v>772</v>
      </c>
      <c r="B125" s="125">
        <v>45002</v>
      </c>
      <c r="D125">
        <v>100000</v>
      </c>
      <c r="H125" t="s">
        <v>773</v>
      </c>
    </row>
    <row r="126" spans="1:8" x14ac:dyDescent="0.25">
      <c r="A126" t="s">
        <v>749</v>
      </c>
      <c r="B126" s="125">
        <v>45002</v>
      </c>
      <c r="D126">
        <v>16600</v>
      </c>
      <c r="H126" t="s">
        <v>677</v>
      </c>
    </row>
    <row r="127" spans="1:8" x14ac:dyDescent="0.25">
      <c r="A127" t="s">
        <v>698</v>
      </c>
      <c r="B127" s="125">
        <v>45002</v>
      </c>
      <c r="D127">
        <v>300000</v>
      </c>
      <c r="H127" t="s">
        <v>654</v>
      </c>
    </row>
    <row r="128" spans="1:8" x14ac:dyDescent="0.25">
      <c r="A128" t="s">
        <v>774</v>
      </c>
      <c r="B128" s="125">
        <v>45002</v>
      </c>
      <c r="D128">
        <v>500000</v>
      </c>
      <c r="H128" t="s">
        <v>654</v>
      </c>
    </row>
    <row r="129" spans="1:8" x14ac:dyDescent="0.25">
      <c r="A129" t="s">
        <v>775</v>
      </c>
      <c r="B129" s="125">
        <v>45002</v>
      </c>
      <c r="D129">
        <v>1200000</v>
      </c>
      <c r="H129" t="s">
        <v>654</v>
      </c>
    </row>
    <row r="130" spans="1:8" x14ac:dyDescent="0.25">
      <c r="A130" t="s">
        <v>776</v>
      </c>
      <c r="B130" s="125">
        <v>45002</v>
      </c>
      <c r="D130">
        <v>500000</v>
      </c>
      <c r="H130" t="s">
        <v>654</v>
      </c>
    </row>
    <row r="131" spans="1:8" x14ac:dyDescent="0.25">
      <c r="A131" t="s">
        <v>777</v>
      </c>
      <c r="B131" s="125">
        <v>45006</v>
      </c>
      <c r="D131">
        <v>98600</v>
      </c>
      <c r="H131" t="s">
        <v>56</v>
      </c>
    </row>
    <row r="132" spans="1:8" x14ac:dyDescent="0.25">
      <c r="A132" t="s">
        <v>778</v>
      </c>
      <c r="B132" s="125">
        <v>45006</v>
      </c>
      <c r="D132">
        <v>13500</v>
      </c>
      <c r="H132" t="s">
        <v>56</v>
      </c>
    </row>
    <row r="133" spans="1:8" x14ac:dyDescent="0.25">
      <c r="A133" t="s">
        <v>779</v>
      </c>
      <c r="B133" s="125">
        <v>45006</v>
      </c>
      <c r="D133">
        <v>50000</v>
      </c>
      <c r="H133" t="s">
        <v>56</v>
      </c>
    </row>
    <row r="134" spans="1:8" x14ac:dyDescent="0.25">
      <c r="A134" t="s">
        <v>780</v>
      </c>
      <c r="B134" s="125">
        <v>45006</v>
      </c>
      <c r="D134">
        <v>291000</v>
      </c>
      <c r="H134" t="s">
        <v>56</v>
      </c>
    </row>
    <row r="135" spans="1:8" x14ac:dyDescent="0.25">
      <c r="A135" t="s">
        <v>781</v>
      </c>
      <c r="B135" s="125">
        <v>45007</v>
      </c>
      <c r="C135">
        <v>1451250</v>
      </c>
      <c r="H135" t="s">
        <v>56</v>
      </c>
    </row>
    <row r="136" spans="1:8" x14ac:dyDescent="0.25">
      <c r="A136" t="s">
        <v>782</v>
      </c>
      <c r="B136" s="125">
        <v>45007</v>
      </c>
      <c r="D136">
        <v>561800</v>
      </c>
      <c r="H136" t="s">
        <v>56</v>
      </c>
    </row>
    <row r="137" spans="1:8" x14ac:dyDescent="0.25">
      <c r="A137" t="s">
        <v>783</v>
      </c>
      <c r="B137" s="125">
        <v>45007</v>
      </c>
      <c r="D137">
        <v>166300</v>
      </c>
      <c r="H137" t="s">
        <v>56</v>
      </c>
    </row>
    <row r="138" spans="1:8" x14ac:dyDescent="0.25">
      <c r="A138" t="s">
        <v>784</v>
      </c>
      <c r="B138" s="125">
        <v>45007</v>
      </c>
      <c r="C138">
        <v>2870000</v>
      </c>
      <c r="H138" t="s">
        <v>56</v>
      </c>
    </row>
    <row r="139" spans="1:8" x14ac:dyDescent="0.25">
      <c r="A139" t="s">
        <v>785</v>
      </c>
      <c r="B139" s="125">
        <v>45007</v>
      </c>
      <c r="D139">
        <v>324800</v>
      </c>
      <c r="H139" t="s">
        <v>56</v>
      </c>
    </row>
    <row r="140" spans="1:8" x14ac:dyDescent="0.25">
      <c r="A140" t="s">
        <v>786</v>
      </c>
      <c r="B140" s="125">
        <v>45007</v>
      </c>
      <c r="D140">
        <v>85000</v>
      </c>
      <c r="H140" t="s">
        <v>56</v>
      </c>
    </row>
    <row r="141" spans="1:8" x14ac:dyDescent="0.25">
      <c r="A141" t="s">
        <v>787</v>
      </c>
      <c r="B141" s="125">
        <v>45008</v>
      </c>
      <c r="D141">
        <v>32300</v>
      </c>
      <c r="H141" t="s">
        <v>56</v>
      </c>
    </row>
    <row r="142" spans="1:8" x14ac:dyDescent="0.25">
      <c r="A142" t="s">
        <v>788</v>
      </c>
      <c r="B142" s="125">
        <v>45008</v>
      </c>
      <c r="C142">
        <v>200000</v>
      </c>
      <c r="H142" t="s">
        <v>768</v>
      </c>
    </row>
    <row r="143" spans="1:8" x14ac:dyDescent="0.25">
      <c r="A143" t="s">
        <v>789</v>
      </c>
      <c r="B143" s="125">
        <v>45008</v>
      </c>
      <c r="D143">
        <v>250000</v>
      </c>
      <c r="H143" t="s">
        <v>56</v>
      </c>
    </row>
    <row r="144" spans="1:8" x14ac:dyDescent="0.25">
      <c r="A144" t="s">
        <v>790</v>
      </c>
      <c r="B144" s="125">
        <v>45008</v>
      </c>
      <c r="C144">
        <v>1735000</v>
      </c>
      <c r="H144" t="s">
        <v>56</v>
      </c>
    </row>
    <row r="145" spans="1:8" x14ac:dyDescent="0.25">
      <c r="A145" t="s">
        <v>791</v>
      </c>
      <c r="B145" s="125">
        <v>45008</v>
      </c>
      <c r="C145">
        <v>607000</v>
      </c>
      <c r="H145" t="s">
        <v>56</v>
      </c>
    </row>
    <row r="146" spans="1:8" x14ac:dyDescent="0.25">
      <c r="A146" t="s">
        <v>792</v>
      </c>
      <c r="B146" s="125">
        <v>45009</v>
      </c>
      <c r="C146">
        <v>1065000</v>
      </c>
      <c r="H146" t="s">
        <v>56</v>
      </c>
    </row>
    <row r="147" spans="1:8" x14ac:dyDescent="0.25">
      <c r="A147" t="s">
        <v>793</v>
      </c>
      <c r="B147" s="125">
        <v>45009</v>
      </c>
      <c r="C147">
        <v>500000</v>
      </c>
      <c r="H147" t="s">
        <v>56</v>
      </c>
    </row>
    <row r="148" spans="1:8" x14ac:dyDescent="0.25">
      <c r="A148" t="s">
        <v>794</v>
      </c>
      <c r="B148" s="125">
        <v>45009</v>
      </c>
      <c r="D148">
        <v>150000</v>
      </c>
      <c r="H148" t="s">
        <v>56</v>
      </c>
    </row>
    <row r="149" spans="1:8" x14ac:dyDescent="0.25">
      <c r="A149" t="s">
        <v>795</v>
      </c>
      <c r="B149" s="125">
        <v>45009</v>
      </c>
      <c r="C149">
        <v>130000</v>
      </c>
      <c r="H149" t="s">
        <v>56</v>
      </c>
    </row>
    <row r="150" spans="1:8" x14ac:dyDescent="0.25">
      <c r="A150" t="s">
        <v>796</v>
      </c>
      <c r="B150" s="125">
        <v>45009</v>
      </c>
      <c r="C150">
        <v>1065000</v>
      </c>
      <c r="H150" t="s">
        <v>56</v>
      </c>
    </row>
    <row r="151" spans="1:8" x14ac:dyDescent="0.25">
      <c r="A151" t="s">
        <v>797</v>
      </c>
      <c r="B151" s="125">
        <v>45012</v>
      </c>
      <c r="D151">
        <v>109800</v>
      </c>
      <c r="H151" t="s">
        <v>56</v>
      </c>
    </row>
    <row r="152" spans="1:8" x14ac:dyDescent="0.25">
      <c r="A152" t="s">
        <v>750</v>
      </c>
      <c r="B152" s="125">
        <v>45012</v>
      </c>
      <c r="D152">
        <v>100000</v>
      </c>
      <c r="G152" t="s">
        <v>798</v>
      </c>
      <c r="H152" t="s">
        <v>654</v>
      </c>
    </row>
    <row r="153" spans="1:8" x14ac:dyDescent="0.25">
      <c r="A153" t="s">
        <v>799</v>
      </c>
      <c r="B153" s="125">
        <v>45012</v>
      </c>
      <c r="D153">
        <v>19000</v>
      </c>
      <c r="E153">
        <v>119000</v>
      </c>
      <c r="H153" t="s">
        <v>654</v>
      </c>
    </row>
    <row r="154" spans="1:8" x14ac:dyDescent="0.25">
      <c r="A154" t="s">
        <v>765</v>
      </c>
      <c r="B154" s="125">
        <v>45013</v>
      </c>
      <c r="D154">
        <v>400000</v>
      </c>
      <c r="H154" t="s">
        <v>654</v>
      </c>
    </row>
    <row r="155" spans="1:8" x14ac:dyDescent="0.25">
      <c r="A155" t="s">
        <v>800</v>
      </c>
      <c r="B155" s="125">
        <v>45013</v>
      </c>
      <c r="C155">
        <v>630000</v>
      </c>
      <c r="H155" t="s">
        <v>56</v>
      </c>
    </row>
    <row r="156" spans="1:8" x14ac:dyDescent="0.25">
      <c r="A156" t="s">
        <v>801</v>
      </c>
      <c r="B156" s="125">
        <v>45013</v>
      </c>
      <c r="C156">
        <v>6000000</v>
      </c>
      <c r="H156" t="s">
        <v>802</v>
      </c>
    </row>
    <row r="157" spans="1:8" x14ac:dyDescent="0.25">
      <c r="A157" t="s">
        <v>803</v>
      </c>
      <c r="B157" s="125">
        <v>45013</v>
      </c>
      <c r="D157">
        <v>6000000</v>
      </c>
      <c r="H157" t="s">
        <v>654</v>
      </c>
    </row>
    <row r="158" spans="1:8" x14ac:dyDescent="0.25">
      <c r="A158" t="s">
        <v>804</v>
      </c>
      <c r="B158" s="125">
        <v>45013</v>
      </c>
      <c r="C158">
        <v>52000</v>
      </c>
      <c r="H158" t="s">
        <v>56</v>
      </c>
    </row>
    <row r="159" spans="1:8" x14ac:dyDescent="0.25">
      <c r="A159" t="s">
        <v>805</v>
      </c>
      <c r="B159" s="125">
        <v>45015</v>
      </c>
      <c r="D159">
        <v>4000000</v>
      </c>
      <c r="H159" t="s">
        <v>654</v>
      </c>
    </row>
    <row r="160" spans="1:8" x14ac:dyDescent="0.25">
      <c r="A160" t="s">
        <v>806</v>
      </c>
      <c r="B160" s="125">
        <v>45015</v>
      </c>
      <c r="C160">
        <v>42000</v>
      </c>
      <c r="H160" t="s">
        <v>56</v>
      </c>
    </row>
    <row r="161" spans="1:8" x14ac:dyDescent="0.25">
      <c r="A161" t="s">
        <v>256</v>
      </c>
      <c r="B161" s="125">
        <v>45015</v>
      </c>
      <c r="D161">
        <v>50000</v>
      </c>
      <c r="H161" t="s">
        <v>256</v>
      </c>
    </row>
    <row r="162" spans="1:8" x14ac:dyDescent="0.25">
      <c r="A162" t="s">
        <v>807</v>
      </c>
      <c r="B162" s="125">
        <v>45015</v>
      </c>
      <c r="C162">
        <v>339000</v>
      </c>
      <c r="H162" t="s">
        <v>56</v>
      </c>
    </row>
    <row r="163" spans="1:8" x14ac:dyDescent="0.25">
      <c r="A163" t="s">
        <v>808</v>
      </c>
      <c r="B163" s="125">
        <v>45016</v>
      </c>
      <c r="C163">
        <v>5000000</v>
      </c>
      <c r="H163" t="s">
        <v>809</v>
      </c>
    </row>
    <row r="164" spans="1:8" x14ac:dyDescent="0.25">
      <c r="A164" t="s">
        <v>256</v>
      </c>
      <c r="B164" s="125">
        <v>45016</v>
      </c>
      <c r="D164">
        <v>50000</v>
      </c>
      <c r="H164" t="s">
        <v>256</v>
      </c>
    </row>
    <row r="165" spans="1:8" x14ac:dyDescent="0.25">
      <c r="A165" t="s">
        <v>766</v>
      </c>
      <c r="B165" s="125">
        <v>45016</v>
      </c>
      <c r="D165">
        <v>638000</v>
      </c>
      <c r="H165" t="s">
        <v>56</v>
      </c>
    </row>
    <row r="166" spans="1:8" x14ac:dyDescent="0.25">
      <c r="A166" t="s">
        <v>769</v>
      </c>
      <c r="B166" s="125">
        <v>45016</v>
      </c>
      <c r="D166">
        <v>290000</v>
      </c>
      <c r="H166" t="s">
        <v>56</v>
      </c>
    </row>
    <row r="167" spans="1:8" x14ac:dyDescent="0.25">
      <c r="A167" t="s">
        <v>662</v>
      </c>
      <c r="B167" s="125">
        <v>45016</v>
      </c>
      <c r="D167">
        <v>500000</v>
      </c>
      <c r="H167" t="s">
        <v>654</v>
      </c>
    </row>
    <row r="168" spans="1:8" x14ac:dyDescent="0.25">
      <c r="A168" t="s">
        <v>810</v>
      </c>
      <c r="B168" s="125">
        <v>45016</v>
      </c>
      <c r="D168">
        <v>350000</v>
      </c>
      <c r="H168" t="s">
        <v>654</v>
      </c>
    </row>
    <row r="169" spans="1:8" x14ac:dyDescent="0.25">
      <c r="A169" t="s">
        <v>811</v>
      </c>
      <c r="B169" s="125">
        <v>45019</v>
      </c>
      <c r="D169">
        <v>5000000</v>
      </c>
      <c r="H169" t="s">
        <v>654</v>
      </c>
    </row>
    <row r="170" spans="1:8" x14ac:dyDescent="0.25">
      <c r="A170" t="s">
        <v>812</v>
      </c>
      <c r="B170" s="125">
        <v>45019</v>
      </c>
      <c r="C170">
        <v>42000</v>
      </c>
      <c r="H170" t="s">
        <v>56</v>
      </c>
    </row>
    <row r="171" spans="1:8" x14ac:dyDescent="0.25">
      <c r="A171" t="s">
        <v>813</v>
      </c>
      <c r="B171" s="125">
        <v>45020</v>
      </c>
      <c r="D171">
        <v>50000</v>
      </c>
      <c r="H171" t="s">
        <v>814</v>
      </c>
    </row>
    <row r="172" spans="1:8" x14ac:dyDescent="0.25">
      <c r="A172" t="s">
        <v>813</v>
      </c>
      <c r="B172" s="125">
        <v>45020</v>
      </c>
      <c r="D172">
        <v>300000</v>
      </c>
      <c r="H172" t="s">
        <v>814</v>
      </c>
    </row>
    <row r="173" spans="1:8" x14ac:dyDescent="0.25">
      <c r="A173" t="s">
        <v>799</v>
      </c>
      <c r="B173" s="125">
        <v>45021</v>
      </c>
      <c r="D173">
        <v>40000</v>
      </c>
      <c r="E173">
        <v>160000</v>
      </c>
      <c r="H173" t="s">
        <v>654</v>
      </c>
    </row>
    <row r="174" spans="1:8" x14ac:dyDescent="0.25">
      <c r="A174" t="s">
        <v>813</v>
      </c>
      <c r="B174" s="125">
        <v>45021</v>
      </c>
      <c r="D174">
        <v>100000</v>
      </c>
      <c r="H174" t="s">
        <v>814</v>
      </c>
    </row>
    <row r="175" spans="1:8" x14ac:dyDescent="0.25">
      <c r="A175" t="s">
        <v>705</v>
      </c>
      <c r="B175" s="125">
        <v>45026</v>
      </c>
      <c r="D175">
        <v>150000</v>
      </c>
      <c r="H175" t="s">
        <v>706</v>
      </c>
    </row>
    <row r="176" spans="1:8" x14ac:dyDescent="0.25">
      <c r="A176" t="s">
        <v>1057</v>
      </c>
      <c r="B176" s="125">
        <v>45026</v>
      </c>
      <c r="D176">
        <v>500000</v>
      </c>
      <c r="H176" t="s">
        <v>1058</v>
      </c>
    </row>
    <row r="177" spans="1:8" x14ac:dyDescent="0.25">
      <c r="A177" t="s">
        <v>816</v>
      </c>
      <c r="B177" s="125">
        <v>45026</v>
      </c>
      <c r="C177">
        <v>70000</v>
      </c>
      <c r="H177" t="s">
        <v>56</v>
      </c>
    </row>
    <row r="178" spans="1:8" x14ac:dyDescent="0.25">
      <c r="A178" t="s">
        <v>817</v>
      </c>
      <c r="B178" s="125">
        <v>45029</v>
      </c>
      <c r="C178">
        <v>4260000</v>
      </c>
      <c r="H178" t="s">
        <v>56</v>
      </c>
    </row>
    <row r="179" spans="1:8" x14ac:dyDescent="0.25">
      <c r="A179" t="s">
        <v>818</v>
      </c>
      <c r="B179" s="125">
        <v>45030</v>
      </c>
      <c r="D179">
        <v>168000</v>
      </c>
      <c r="H179" t="s">
        <v>56</v>
      </c>
    </row>
    <row r="180" spans="1:8" x14ac:dyDescent="0.25">
      <c r="A180" t="s">
        <v>819</v>
      </c>
      <c r="B180" s="125">
        <v>45030</v>
      </c>
      <c r="D180">
        <v>125000</v>
      </c>
      <c r="H180" t="s">
        <v>56</v>
      </c>
    </row>
    <row r="181" spans="1:8" x14ac:dyDescent="0.25">
      <c r="A181" t="s">
        <v>766</v>
      </c>
      <c r="B181" s="125">
        <v>45030</v>
      </c>
      <c r="D181">
        <v>638000</v>
      </c>
      <c r="H181" t="s">
        <v>56</v>
      </c>
    </row>
    <row r="182" spans="1:8" x14ac:dyDescent="0.25">
      <c r="A182" t="s">
        <v>820</v>
      </c>
      <c r="B182" s="125">
        <v>45030</v>
      </c>
      <c r="C182">
        <v>35000</v>
      </c>
      <c r="H182" t="s">
        <v>56</v>
      </c>
    </row>
    <row r="183" spans="1:8" x14ac:dyDescent="0.25">
      <c r="A183" t="s">
        <v>821</v>
      </c>
      <c r="B183" s="125">
        <v>45030</v>
      </c>
      <c r="C183">
        <v>220000</v>
      </c>
      <c r="G183" t="s">
        <v>822</v>
      </c>
      <c r="H183" t="s">
        <v>802</v>
      </c>
    </row>
    <row r="184" spans="1:8" x14ac:dyDescent="0.25">
      <c r="A184" t="s">
        <v>823</v>
      </c>
      <c r="B184" s="125">
        <v>45031</v>
      </c>
      <c r="D184">
        <v>290000</v>
      </c>
      <c r="H184" t="s">
        <v>56</v>
      </c>
    </row>
    <row r="185" spans="1:8" x14ac:dyDescent="0.25">
      <c r="A185" t="s">
        <v>666</v>
      </c>
      <c r="B185" s="125">
        <v>45033</v>
      </c>
      <c r="D185">
        <v>100000</v>
      </c>
      <c r="H185" t="s">
        <v>654</v>
      </c>
    </row>
    <row r="186" spans="1:8" x14ac:dyDescent="0.25">
      <c r="A186" t="s">
        <v>824</v>
      </c>
      <c r="B186" s="125">
        <v>45034</v>
      </c>
      <c r="D186">
        <v>300000</v>
      </c>
      <c r="H186" t="s">
        <v>654</v>
      </c>
    </row>
    <row r="187" spans="1:8" x14ac:dyDescent="0.25">
      <c r="A187" t="s">
        <v>825</v>
      </c>
      <c r="B187" s="125">
        <v>45034</v>
      </c>
      <c r="D187">
        <v>2000000</v>
      </c>
      <c r="H187" t="s">
        <v>654</v>
      </c>
    </row>
    <row r="188" spans="1:8" x14ac:dyDescent="0.25">
      <c r="A188" t="s">
        <v>826</v>
      </c>
      <c r="B188" s="125">
        <v>45035</v>
      </c>
      <c r="C188">
        <v>300000</v>
      </c>
      <c r="H188" t="s">
        <v>56</v>
      </c>
    </row>
    <row r="189" spans="1:8" x14ac:dyDescent="0.25">
      <c r="A189" t="s">
        <v>827</v>
      </c>
      <c r="B189" s="125">
        <v>45035</v>
      </c>
      <c r="D189">
        <v>100000</v>
      </c>
      <c r="H189" t="s">
        <v>654</v>
      </c>
    </row>
    <row r="190" spans="1:8" x14ac:dyDescent="0.25">
      <c r="A190" t="s">
        <v>828</v>
      </c>
      <c r="B190" s="125">
        <v>45037</v>
      </c>
      <c r="D190">
        <v>500000</v>
      </c>
      <c r="H190" t="s">
        <v>654</v>
      </c>
    </row>
    <row r="191" spans="1:8" x14ac:dyDescent="0.25">
      <c r="A191" t="s">
        <v>829</v>
      </c>
      <c r="B191" s="125">
        <v>45037</v>
      </c>
      <c r="C191">
        <v>1390000</v>
      </c>
      <c r="H191" t="s">
        <v>56</v>
      </c>
    </row>
    <row r="192" spans="1:8" x14ac:dyDescent="0.25">
      <c r="A192" t="s">
        <v>830</v>
      </c>
      <c r="B192" s="125">
        <v>45037</v>
      </c>
      <c r="D192">
        <v>13500</v>
      </c>
      <c r="G192" t="s">
        <v>831</v>
      </c>
      <c r="H192" t="s">
        <v>832</v>
      </c>
    </row>
    <row r="193" spans="1:8" x14ac:dyDescent="0.25">
      <c r="A193" t="s">
        <v>833</v>
      </c>
      <c r="B193" s="125">
        <v>45037</v>
      </c>
      <c r="D193">
        <v>197000</v>
      </c>
      <c r="H193" t="s">
        <v>56</v>
      </c>
    </row>
    <row r="194" spans="1:8" x14ac:dyDescent="0.25">
      <c r="A194" t="s">
        <v>834</v>
      </c>
      <c r="B194" s="125">
        <v>45037</v>
      </c>
      <c r="C194">
        <v>130000</v>
      </c>
      <c r="H194" t="s">
        <v>56</v>
      </c>
    </row>
    <row r="195" spans="1:8" x14ac:dyDescent="0.25">
      <c r="A195" t="s">
        <v>835</v>
      </c>
      <c r="B195" s="125">
        <v>45038</v>
      </c>
      <c r="C195">
        <v>6480000</v>
      </c>
      <c r="H195" t="s">
        <v>56</v>
      </c>
    </row>
    <row r="196" spans="1:8" x14ac:dyDescent="0.25">
      <c r="A196" t="s">
        <v>836</v>
      </c>
      <c r="B196" s="125">
        <v>45040</v>
      </c>
      <c r="D196">
        <v>243150</v>
      </c>
      <c r="H196" t="s">
        <v>56</v>
      </c>
    </row>
    <row r="197" spans="1:8" x14ac:dyDescent="0.25">
      <c r="A197" t="s">
        <v>837</v>
      </c>
      <c r="B197" s="125">
        <v>45040</v>
      </c>
      <c r="D197">
        <v>250000</v>
      </c>
      <c r="H197" t="s">
        <v>56</v>
      </c>
    </row>
    <row r="198" spans="1:8" x14ac:dyDescent="0.25">
      <c r="A198" t="s">
        <v>838</v>
      </c>
      <c r="B198" s="125">
        <v>45040</v>
      </c>
      <c r="D198">
        <v>292600</v>
      </c>
      <c r="H198" t="s">
        <v>56</v>
      </c>
    </row>
    <row r="199" spans="1:8" x14ac:dyDescent="0.25">
      <c r="A199" t="s">
        <v>799</v>
      </c>
      <c r="B199" s="125">
        <v>45040</v>
      </c>
      <c r="D199">
        <v>40000</v>
      </c>
      <c r="E199">
        <v>200000</v>
      </c>
      <c r="H199" t="s">
        <v>654</v>
      </c>
    </row>
    <row r="200" spans="1:8" x14ac:dyDescent="0.25">
      <c r="A200" t="s">
        <v>839</v>
      </c>
      <c r="B200" s="125">
        <v>45041</v>
      </c>
      <c r="C200">
        <v>500000</v>
      </c>
      <c r="H200" t="s">
        <v>802</v>
      </c>
    </row>
    <row r="201" spans="1:8" x14ac:dyDescent="0.25">
      <c r="A201" t="s">
        <v>840</v>
      </c>
      <c r="B201" s="125">
        <v>45041</v>
      </c>
      <c r="D201">
        <v>500000</v>
      </c>
      <c r="G201" t="s">
        <v>841</v>
      </c>
      <c r="H201" t="s">
        <v>654</v>
      </c>
    </row>
    <row r="202" spans="1:8" x14ac:dyDescent="0.25">
      <c r="A202" t="s">
        <v>842</v>
      </c>
      <c r="B202" s="125">
        <v>45041</v>
      </c>
      <c r="D202">
        <v>59400</v>
      </c>
      <c r="H202" t="s">
        <v>56</v>
      </c>
    </row>
    <row r="203" spans="1:8" x14ac:dyDescent="0.25">
      <c r="A203" t="s">
        <v>781</v>
      </c>
      <c r="B203" s="125">
        <v>45043</v>
      </c>
      <c r="C203">
        <v>739034</v>
      </c>
      <c r="H203" t="s">
        <v>56</v>
      </c>
    </row>
    <row r="204" spans="1:8" x14ac:dyDescent="0.25">
      <c r="A204" t="s">
        <v>666</v>
      </c>
      <c r="B204" s="125">
        <v>45043</v>
      </c>
      <c r="D204">
        <v>50000</v>
      </c>
      <c r="H204" t="s">
        <v>654</v>
      </c>
    </row>
    <row r="205" spans="1:8" x14ac:dyDescent="0.25">
      <c r="A205" t="s">
        <v>843</v>
      </c>
      <c r="B205" s="125">
        <v>45043</v>
      </c>
      <c r="D205">
        <v>320000</v>
      </c>
      <c r="H205" t="s">
        <v>56</v>
      </c>
    </row>
    <row r="206" spans="1:8" x14ac:dyDescent="0.25">
      <c r="A206" t="s">
        <v>663</v>
      </c>
      <c r="B206" s="125">
        <v>45043</v>
      </c>
      <c r="D206">
        <v>50000</v>
      </c>
      <c r="H206" t="s">
        <v>664</v>
      </c>
    </row>
    <row r="207" spans="1:8" x14ac:dyDescent="0.25">
      <c r="A207" t="s">
        <v>844</v>
      </c>
      <c r="B207" s="125">
        <v>45043</v>
      </c>
      <c r="D207">
        <v>20000000</v>
      </c>
      <c r="H207" t="s">
        <v>56</v>
      </c>
    </row>
    <row r="208" spans="1:8" x14ac:dyDescent="0.25">
      <c r="A208" t="s">
        <v>769</v>
      </c>
      <c r="B208" s="125">
        <v>45044</v>
      </c>
      <c r="D208">
        <v>290000</v>
      </c>
      <c r="H208" t="s">
        <v>56</v>
      </c>
    </row>
    <row r="209" spans="1:8" x14ac:dyDescent="0.25">
      <c r="A209" t="s">
        <v>845</v>
      </c>
      <c r="B209" s="125">
        <v>45044</v>
      </c>
      <c r="D209">
        <v>5000000</v>
      </c>
      <c r="H209" t="s">
        <v>56</v>
      </c>
    </row>
    <row r="210" spans="1:8" x14ac:dyDescent="0.25">
      <c r="A210" t="s">
        <v>766</v>
      </c>
      <c r="B210" s="125">
        <v>45045</v>
      </c>
      <c r="D210">
        <v>638000</v>
      </c>
      <c r="H210" t="s">
        <v>56</v>
      </c>
    </row>
    <row r="211" spans="1:8" x14ac:dyDescent="0.25">
      <c r="A211" t="s">
        <v>846</v>
      </c>
      <c r="B211" s="125">
        <v>45045</v>
      </c>
      <c r="C211">
        <v>50000</v>
      </c>
      <c r="H211" t="s">
        <v>56</v>
      </c>
    </row>
    <row r="212" spans="1:8" x14ac:dyDescent="0.25">
      <c r="A212" t="s">
        <v>847</v>
      </c>
      <c r="B212" s="125">
        <v>45048</v>
      </c>
      <c r="D212">
        <v>99000</v>
      </c>
      <c r="H212" t="s">
        <v>56</v>
      </c>
    </row>
    <row r="213" spans="1:8" x14ac:dyDescent="0.25">
      <c r="A213" t="s">
        <v>848</v>
      </c>
      <c r="B213" s="125">
        <v>45048</v>
      </c>
      <c r="C213">
        <v>5650000</v>
      </c>
      <c r="H213" t="s">
        <v>56</v>
      </c>
    </row>
    <row r="214" spans="1:8" x14ac:dyDescent="0.25">
      <c r="A214" t="s">
        <v>795</v>
      </c>
      <c r="B214" s="125">
        <v>45049</v>
      </c>
      <c r="C214">
        <v>130000</v>
      </c>
      <c r="H214" t="s">
        <v>56</v>
      </c>
    </row>
    <row r="215" spans="1:8" x14ac:dyDescent="0.25">
      <c r="A215" t="s">
        <v>849</v>
      </c>
      <c r="B215" s="125">
        <v>45049</v>
      </c>
      <c r="D215">
        <v>1000000</v>
      </c>
      <c r="H215" t="s">
        <v>654</v>
      </c>
    </row>
    <row r="216" spans="1:8" x14ac:dyDescent="0.25">
      <c r="A216" t="s">
        <v>799</v>
      </c>
      <c r="B216" s="125">
        <v>45049</v>
      </c>
      <c r="D216">
        <v>150000</v>
      </c>
      <c r="E216">
        <v>300000</v>
      </c>
      <c r="H216" t="s">
        <v>654</v>
      </c>
    </row>
    <row r="217" spans="1:8" x14ac:dyDescent="0.25">
      <c r="A217" t="s">
        <v>850</v>
      </c>
      <c r="B217" s="125">
        <v>45049</v>
      </c>
      <c r="C217">
        <v>615000</v>
      </c>
      <c r="H217" t="s">
        <v>56</v>
      </c>
    </row>
    <row r="218" spans="1:8" x14ac:dyDescent="0.25">
      <c r="A218" t="s">
        <v>851</v>
      </c>
      <c r="B218" s="125">
        <v>45050</v>
      </c>
      <c r="C218">
        <v>395500</v>
      </c>
      <c r="H218" t="s">
        <v>56</v>
      </c>
    </row>
    <row r="219" spans="1:8" x14ac:dyDescent="0.25">
      <c r="A219" t="s">
        <v>852</v>
      </c>
      <c r="B219" s="125">
        <v>45050</v>
      </c>
      <c r="D219">
        <v>3200000</v>
      </c>
      <c r="H219" t="s">
        <v>815</v>
      </c>
    </row>
    <row r="220" spans="1:8" x14ac:dyDescent="0.25">
      <c r="A220" t="s">
        <v>853</v>
      </c>
      <c r="B220" s="125">
        <v>45050</v>
      </c>
      <c r="C220">
        <v>7000000</v>
      </c>
      <c r="H220" t="s">
        <v>802</v>
      </c>
    </row>
    <row r="221" spans="1:8" x14ac:dyDescent="0.25">
      <c r="A221" t="s">
        <v>854</v>
      </c>
      <c r="B221" s="125">
        <v>45050</v>
      </c>
      <c r="D221">
        <v>2000000</v>
      </c>
      <c r="H221" t="s">
        <v>855</v>
      </c>
    </row>
    <row r="222" spans="1:8" x14ac:dyDescent="0.25">
      <c r="A222" t="s">
        <v>856</v>
      </c>
      <c r="B222" s="125">
        <v>45050</v>
      </c>
      <c r="C222">
        <v>100000</v>
      </c>
      <c r="H222" t="s">
        <v>56</v>
      </c>
    </row>
    <row r="223" spans="1:8" x14ac:dyDescent="0.25">
      <c r="A223" t="s">
        <v>783</v>
      </c>
      <c r="B223" s="125">
        <v>45050</v>
      </c>
      <c r="D223">
        <v>153100</v>
      </c>
      <c r="H223" t="s">
        <v>56</v>
      </c>
    </row>
    <row r="224" spans="1:8" x14ac:dyDescent="0.25">
      <c r="A224" t="s">
        <v>847</v>
      </c>
      <c r="B224" s="125">
        <v>45050</v>
      </c>
      <c r="H224" t="s">
        <v>56</v>
      </c>
    </row>
    <row r="225" spans="1:8" x14ac:dyDescent="0.25">
      <c r="A225" t="s">
        <v>653</v>
      </c>
      <c r="B225" s="125">
        <v>45051</v>
      </c>
      <c r="D225">
        <v>100000</v>
      </c>
      <c r="H225" t="s">
        <v>654</v>
      </c>
    </row>
    <row r="226" spans="1:8" x14ac:dyDescent="0.25">
      <c r="A226" t="s">
        <v>751</v>
      </c>
      <c r="B226" s="125">
        <v>45051</v>
      </c>
      <c r="D226">
        <v>13500</v>
      </c>
      <c r="G226" t="s">
        <v>831</v>
      </c>
      <c r="H226" t="s">
        <v>654</v>
      </c>
    </row>
    <row r="227" spans="1:8" x14ac:dyDescent="0.25">
      <c r="A227" t="s">
        <v>886</v>
      </c>
      <c r="B227" s="125">
        <v>45054</v>
      </c>
      <c r="D227">
        <v>50000</v>
      </c>
      <c r="H227" t="s">
        <v>654</v>
      </c>
    </row>
    <row r="228" spans="1:8" x14ac:dyDescent="0.25">
      <c r="A228" t="s">
        <v>857</v>
      </c>
      <c r="B228" s="125">
        <v>45054</v>
      </c>
      <c r="D228">
        <v>378922</v>
      </c>
      <c r="H228" t="s">
        <v>56</v>
      </c>
    </row>
    <row r="229" spans="1:8" x14ac:dyDescent="0.25">
      <c r="A229" t="s">
        <v>858</v>
      </c>
      <c r="B229" s="125">
        <v>45054</v>
      </c>
      <c r="C229">
        <v>150000</v>
      </c>
      <c r="E229">
        <v>0</v>
      </c>
      <c r="H229" t="s">
        <v>56</v>
      </c>
    </row>
    <row r="230" spans="1:8" x14ac:dyDescent="0.25">
      <c r="A230" t="s">
        <v>859</v>
      </c>
      <c r="B230" s="125">
        <v>45054</v>
      </c>
      <c r="D230">
        <v>600000</v>
      </c>
      <c r="H230" t="s">
        <v>654</v>
      </c>
    </row>
    <row r="231" spans="1:8" x14ac:dyDescent="0.25">
      <c r="A231" t="s">
        <v>860</v>
      </c>
      <c r="B231" s="125">
        <v>45055</v>
      </c>
      <c r="D231">
        <v>1000000</v>
      </c>
      <c r="H231" t="s">
        <v>654</v>
      </c>
    </row>
    <row r="232" spans="1:8" x14ac:dyDescent="0.25">
      <c r="A232" t="s">
        <v>861</v>
      </c>
      <c r="B232" s="125">
        <v>45055</v>
      </c>
      <c r="C232">
        <v>50000</v>
      </c>
      <c r="H232" t="s">
        <v>862</v>
      </c>
    </row>
    <row r="233" spans="1:8" x14ac:dyDescent="0.25">
      <c r="A233" t="s">
        <v>816</v>
      </c>
      <c r="B233" s="125">
        <v>45056</v>
      </c>
      <c r="C233">
        <v>70000</v>
      </c>
      <c r="H233" t="s">
        <v>56</v>
      </c>
    </row>
    <row r="234" spans="1:8" x14ac:dyDescent="0.25">
      <c r="A234" t="s">
        <v>863</v>
      </c>
      <c r="B234" s="125">
        <v>45056</v>
      </c>
      <c r="D234">
        <v>50000</v>
      </c>
      <c r="H234" t="s">
        <v>256</v>
      </c>
    </row>
    <row r="235" spans="1:8" x14ac:dyDescent="0.25">
      <c r="A235" t="s">
        <v>705</v>
      </c>
      <c r="B235" s="125">
        <v>45056</v>
      </c>
      <c r="D235">
        <v>135000</v>
      </c>
      <c r="H235" t="s">
        <v>706</v>
      </c>
    </row>
    <row r="236" spans="1:8" x14ac:dyDescent="0.25">
      <c r="A236" t="s">
        <v>1059</v>
      </c>
      <c r="B236" s="125">
        <v>45057</v>
      </c>
      <c r="D236">
        <v>2240000</v>
      </c>
      <c r="H236" t="s">
        <v>714</v>
      </c>
    </row>
    <row r="237" spans="1:8" x14ac:dyDescent="0.25">
      <c r="A237" t="s">
        <v>864</v>
      </c>
      <c r="B237" s="125">
        <v>45057</v>
      </c>
      <c r="C237">
        <v>1100000</v>
      </c>
      <c r="H237" t="s">
        <v>56</v>
      </c>
    </row>
    <row r="238" spans="1:8" x14ac:dyDescent="0.25">
      <c r="A238" t="s">
        <v>865</v>
      </c>
      <c r="B238" s="125">
        <v>45061</v>
      </c>
      <c r="D238">
        <v>350000</v>
      </c>
      <c r="H238" t="s">
        <v>654</v>
      </c>
    </row>
    <row r="239" spans="1:8" x14ac:dyDescent="0.25">
      <c r="A239" t="s">
        <v>866</v>
      </c>
      <c r="B239" s="125">
        <v>45061</v>
      </c>
      <c r="C239">
        <v>50000</v>
      </c>
      <c r="H239" t="s">
        <v>862</v>
      </c>
    </row>
    <row r="240" spans="1:8" x14ac:dyDescent="0.25">
      <c r="A240" t="s">
        <v>766</v>
      </c>
      <c r="B240" s="125">
        <v>45061</v>
      </c>
      <c r="D240">
        <v>638000</v>
      </c>
      <c r="H240" t="s">
        <v>56</v>
      </c>
    </row>
    <row r="241" spans="1:8" x14ac:dyDescent="0.25">
      <c r="A241" t="s">
        <v>720</v>
      </c>
      <c r="B241" s="125">
        <v>45061</v>
      </c>
      <c r="C241">
        <v>35000</v>
      </c>
      <c r="H241" t="s">
        <v>56</v>
      </c>
    </row>
    <row r="242" spans="1:8" x14ac:dyDescent="0.25">
      <c r="A242" t="s">
        <v>767</v>
      </c>
      <c r="B242" s="125">
        <v>45061</v>
      </c>
      <c r="C242">
        <v>150000</v>
      </c>
      <c r="E242">
        <v>150000</v>
      </c>
      <c r="H242" t="s">
        <v>768</v>
      </c>
    </row>
    <row r="243" spans="1:8" x14ac:dyDescent="0.25">
      <c r="A243" t="s">
        <v>867</v>
      </c>
      <c r="B243" s="125">
        <v>45061</v>
      </c>
      <c r="D243">
        <v>28000</v>
      </c>
      <c r="H243" t="s">
        <v>868</v>
      </c>
    </row>
    <row r="244" spans="1:8" x14ac:dyDescent="0.25">
      <c r="A244" t="s">
        <v>653</v>
      </c>
      <c r="B244" s="125">
        <v>45061</v>
      </c>
      <c r="D244">
        <v>100000</v>
      </c>
      <c r="H244" t="s">
        <v>654</v>
      </c>
    </row>
    <row r="245" spans="1:8" x14ac:dyDescent="0.25">
      <c r="A245" t="s">
        <v>869</v>
      </c>
      <c r="B245" s="125">
        <v>45062</v>
      </c>
      <c r="D245">
        <v>20000</v>
      </c>
      <c r="H245" t="s">
        <v>56</v>
      </c>
    </row>
    <row r="246" spans="1:8" x14ac:dyDescent="0.25">
      <c r="A246" t="s">
        <v>870</v>
      </c>
      <c r="B246" s="125">
        <v>45062</v>
      </c>
      <c r="D246">
        <v>125000</v>
      </c>
      <c r="H246" t="s">
        <v>56</v>
      </c>
    </row>
    <row r="247" spans="1:8" x14ac:dyDescent="0.25">
      <c r="A247" t="s">
        <v>871</v>
      </c>
      <c r="B247" s="125">
        <v>45063</v>
      </c>
      <c r="D247">
        <v>60000</v>
      </c>
      <c r="H247" t="s">
        <v>56</v>
      </c>
    </row>
    <row r="248" spans="1:8" x14ac:dyDescent="0.25">
      <c r="A248" t="s">
        <v>256</v>
      </c>
      <c r="B248" s="125">
        <v>45064</v>
      </c>
      <c r="D248">
        <v>10000</v>
      </c>
      <c r="H248" t="s">
        <v>256</v>
      </c>
    </row>
    <row r="249" spans="1:8" x14ac:dyDescent="0.25">
      <c r="A249" t="s">
        <v>872</v>
      </c>
      <c r="B249" s="125">
        <v>45065</v>
      </c>
      <c r="D249">
        <v>500000</v>
      </c>
      <c r="H249" t="s">
        <v>654</v>
      </c>
    </row>
    <row r="250" spans="1:8" x14ac:dyDescent="0.25">
      <c r="A250" t="s">
        <v>833</v>
      </c>
      <c r="B250" s="125">
        <v>45066</v>
      </c>
      <c r="D250">
        <v>176000</v>
      </c>
      <c r="H250" t="s">
        <v>56</v>
      </c>
    </row>
    <row r="251" spans="1:8" x14ac:dyDescent="0.25">
      <c r="A251" t="s">
        <v>799</v>
      </c>
      <c r="B251" s="125">
        <v>45069</v>
      </c>
      <c r="D251">
        <v>20000</v>
      </c>
      <c r="E251">
        <v>17000</v>
      </c>
      <c r="H251" t="s">
        <v>654</v>
      </c>
    </row>
    <row r="252" spans="1:8" x14ac:dyDescent="0.25">
      <c r="A252" t="s">
        <v>873</v>
      </c>
      <c r="B252" s="125">
        <v>45069</v>
      </c>
      <c r="D252">
        <v>800000</v>
      </c>
      <c r="H252" t="s">
        <v>654</v>
      </c>
    </row>
    <row r="253" spans="1:8" x14ac:dyDescent="0.25">
      <c r="A253" t="s">
        <v>874</v>
      </c>
      <c r="B253" s="125">
        <v>45069</v>
      </c>
      <c r="C253">
        <v>50000</v>
      </c>
      <c r="H253" t="s">
        <v>56</v>
      </c>
    </row>
    <row r="254" spans="1:8" x14ac:dyDescent="0.25">
      <c r="A254" t="s">
        <v>875</v>
      </c>
      <c r="B254" s="125">
        <v>45070</v>
      </c>
      <c r="D254">
        <v>76000</v>
      </c>
      <c r="H254" t="s">
        <v>876</v>
      </c>
    </row>
    <row r="255" spans="1:8" x14ac:dyDescent="0.25">
      <c r="A255" t="s">
        <v>877</v>
      </c>
      <c r="B255" s="125">
        <v>45070</v>
      </c>
      <c r="C255">
        <v>395500</v>
      </c>
      <c r="H255" t="s">
        <v>56</v>
      </c>
    </row>
    <row r="256" spans="1:8" x14ac:dyDescent="0.25">
      <c r="A256" t="s">
        <v>878</v>
      </c>
      <c r="B256" s="125">
        <v>45071</v>
      </c>
      <c r="D256">
        <v>166000</v>
      </c>
      <c r="H256" t="s">
        <v>56</v>
      </c>
    </row>
    <row r="257" spans="1:8" x14ac:dyDescent="0.25">
      <c r="A257" t="s">
        <v>879</v>
      </c>
      <c r="B257" s="125">
        <v>45071</v>
      </c>
      <c r="D257">
        <v>32300</v>
      </c>
      <c r="H257" t="s">
        <v>56</v>
      </c>
    </row>
    <row r="258" spans="1:8" x14ac:dyDescent="0.25">
      <c r="A258" t="s">
        <v>799</v>
      </c>
      <c r="B258" s="125">
        <v>45072</v>
      </c>
      <c r="D258">
        <v>33000</v>
      </c>
      <c r="E258">
        <v>203000</v>
      </c>
      <c r="H258" t="s">
        <v>654</v>
      </c>
    </row>
    <row r="259" spans="1:8" x14ac:dyDescent="0.25">
      <c r="A259" t="s">
        <v>880</v>
      </c>
      <c r="B259" s="125">
        <v>45075</v>
      </c>
      <c r="D259">
        <v>147300</v>
      </c>
      <c r="H259" t="s">
        <v>56</v>
      </c>
    </row>
    <row r="260" spans="1:8" x14ac:dyDescent="0.25">
      <c r="A260" t="s">
        <v>837</v>
      </c>
      <c r="B260" s="125">
        <v>45075</v>
      </c>
      <c r="D260">
        <v>250000</v>
      </c>
      <c r="H260" t="s">
        <v>56</v>
      </c>
    </row>
    <row r="261" spans="1:8" x14ac:dyDescent="0.25">
      <c r="A261" t="s">
        <v>799</v>
      </c>
      <c r="B261" s="125">
        <v>45075</v>
      </c>
      <c r="D261">
        <v>88900</v>
      </c>
      <c r="E261">
        <v>292000</v>
      </c>
      <c r="H261" t="s">
        <v>654</v>
      </c>
    </row>
    <row r="262" spans="1:8" x14ac:dyDescent="0.25">
      <c r="A262" t="s">
        <v>256</v>
      </c>
      <c r="B262" s="125">
        <v>45076</v>
      </c>
      <c r="D262">
        <v>100000</v>
      </c>
      <c r="H262" t="s">
        <v>256</v>
      </c>
    </row>
    <row r="263" spans="1:8" x14ac:dyDescent="0.25">
      <c r="A263" t="s">
        <v>881</v>
      </c>
      <c r="B263" s="125">
        <v>45076</v>
      </c>
      <c r="C263">
        <v>3500000</v>
      </c>
      <c r="H263" t="s">
        <v>882</v>
      </c>
    </row>
    <row r="264" spans="1:8" x14ac:dyDescent="0.25">
      <c r="A264" t="s">
        <v>883</v>
      </c>
      <c r="B264" s="125">
        <v>45076</v>
      </c>
      <c r="D264">
        <v>638000</v>
      </c>
      <c r="H264" t="s">
        <v>56</v>
      </c>
    </row>
    <row r="265" spans="1:8" x14ac:dyDescent="0.25">
      <c r="A265" t="s">
        <v>884</v>
      </c>
      <c r="B265" s="125">
        <v>45078</v>
      </c>
      <c r="D265">
        <v>1500000</v>
      </c>
      <c r="H265" t="s">
        <v>654</v>
      </c>
    </row>
    <row r="266" spans="1:8" x14ac:dyDescent="0.25">
      <c r="A266" t="s">
        <v>885</v>
      </c>
      <c r="B266" s="125">
        <v>45079</v>
      </c>
      <c r="C266">
        <v>100000</v>
      </c>
      <c r="H266" t="s">
        <v>56</v>
      </c>
    </row>
    <row r="267" spans="1:8" x14ac:dyDescent="0.25">
      <c r="A267" t="s">
        <v>886</v>
      </c>
      <c r="B267" s="125">
        <v>45079</v>
      </c>
      <c r="D267">
        <v>100000</v>
      </c>
      <c r="H267" t="s">
        <v>654</v>
      </c>
    </row>
    <row r="268" spans="1:8" x14ac:dyDescent="0.25">
      <c r="A268" t="s">
        <v>698</v>
      </c>
      <c r="B268" s="125">
        <v>45079</v>
      </c>
      <c r="D268">
        <v>200000</v>
      </c>
      <c r="H268" t="s">
        <v>654</v>
      </c>
    </row>
    <row r="269" spans="1:8" x14ac:dyDescent="0.25">
      <c r="A269" t="s">
        <v>887</v>
      </c>
      <c r="B269" s="125">
        <v>45079</v>
      </c>
      <c r="D269">
        <v>700000</v>
      </c>
      <c r="H269" t="s">
        <v>654</v>
      </c>
    </row>
    <row r="270" spans="1:8" x14ac:dyDescent="0.25">
      <c r="A270" t="s">
        <v>888</v>
      </c>
      <c r="B270" s="125">
        <v>45079</v>
      </c>
      <c r="D270">
        <v>100000</v>
      </c>
      <c r="H270" t="s">
        <v>654</v>
      </c>
    </row>
    <row r="271" spans="1:8" x14ac:dyDescent="0.25">
      <c r="A271" t="s">
        <v>889</v>
      </c>
      <c r="B271" s="125">
        <v>45082</v>
      </c>
      <c r="C271">
        <v>297000</v>
      </c>
      <c r="H271" t="s">
        <v>56</v>
      </c>
    </row>
    <row r="272" spans="1:8" x14ac:dyDescent="0.25">
      <c r="A272" t="s">
        <v>825</v>
      </c>
      <c r="B272" s="125">
        <v>45083</v>
      </c>
      <c r="D272">
        <v>300000</v>
      </c>
      <c r="H272" t="s">
        <v>654</v>
      </c>
    </row>
    <row r="273" spans="1:8" x14ac:dyDescent="0.25">
      <c r="A273" t="s">
        <v>888</v>
      </c>
      <c r="B273" s="125">
        <v>45086</v>
      </c>
      <c r="D273">
        <v>100000</v>
      </c>
      <c r="H273" t="s">
        <v>654</v>
      </c>
    </row>
    <row r="274" spans="1:8" x14ac:dyDescent="0.25">
      <c r="A274" t="s">
        <v>705</v>
      </c>
      <c r="B274" s="125">
        <v>45090</v>
      </c>
      <c r="D274">
        <v>135000</v>
      </c>
      <c r="H274" t="s">
        <v>706</v>
      </c>
    </row>
    <row r="275" spans="1:8" x14ac:dyDescent="0.25">
      <c r="A275" t="s">
        <v>890</v>
      </c>
      <c r="B275" s="125">
        <v>45090</v>
      </c>
      <c r="C275">
        <v>600000</v>
      </c>
      <c r="H275" t="s">
        <v>56</v>
      </c>
    </row>
    <row r="276" spans="1:8" x14ac:dyDescent="0.25">
      <c r="A276" t="s">
        <v>816</v>
      </c>
      <c r="B276" s="125">
        <v>45090</v>
      </c>
      <c r="C276">
        <v>70000</v>
      </c>
      <c r="H276" t="s">
        <v>56</v>
      </c>
    </row>
    <row r="277" spans="1:8" x14ac:dyDescent="0.25">
      <c r="A277" t="s">
        <v>891</v>
      </c>
      <c r="B277" s="125">
        <v>45090</v>
      </c>
      <c r="C277">
        <v>8904000</v>
      </c>
      <c r="H277" t="s">
        <v>56</v>
      </c>
    </row>
    <row r="278" spans="1:8" x14ac:dyDescent="0.25">
      <c r="A278" t="s">
        <v>687</v>
      </c>
      <c r="B278" s="125">
        <v>45092</v>
      </c>
      <c r="D278">
        <v>638000</v>
      </c>
      <c r="F278">
        <v>900776091</v>
      </c>
      <c r="H278" t="s">
        <v>684</v>
      </c>
    </row>
    <row r="279" spans="1:8" x14ac:dyDescent="0.25">
      <c r="A279" t="s">
        <v>892</v>
      </c>
      <c r="B279" s="125">
        <v>45092</v>
      </c>
      <c r="C279">
        <v>33000</v>
      </c>
      <c r="H279" t="s">
        <v>56</v>
      </c>
    </row>
    <row r="280" spans="1:8" x14ac:dyDescent="0.25">
      <c r="A280" t="s">
        <v>689</v>
      </c>
      <c r="B280" s="125">
        <v>45092</v>
      </c>
      <c r="C280">
        <v>100000</v>
      </c>
      <c r="E280">
        <v>192000</v>
      </c>
      <c r="H280" t="s">
        <v>56</v>
      </c>
    </row>
    <row r="281" spans="1:8" x14ac:dyDescent="0.25">
      <c r="A281" t="s">
        <v>893</v>
      </c>
      <c r="B281" s="125">
        <v>45093</v>
      </c>
      <c r="D281">
        <v>20000</v>
      </c>
      <c r="H281" t="s">
        <v>675</v>
      </c>
    </row>
    <row r="282" spans="1:8" x14ac:dyDescent="0.25">
      <c r="A282" t="s">
        <v>894</v>
      </c>
      <c r="B282" s="125">
        <v>45093</v>
      </c>
      <c r="D282">
        <v>2000000</v>
      </c>
      <c r="H282" t="s">
        <v>654</v>
      </c>
    </row>
    <row r="283" spans="1:8" x14ac:dyDescent="0.25">
      <c r="A283" t="s">
        <v>895</v>
      </c>
      <c r="B283" s="125">
        <v>45093</v>
      </c>
      <c r="D283">
        <v>300000</v>
      </c>
      <c r="H283" t="s">
        <v>654</v>
      </c>
    </row>
    <row r="284" spans="1:8" x14ac:dyDescent="0.25">
      <c r="A284" t="s">
        <v>896</v>
      </c>
      <c r="B284" s="125">
        <v>45097</v>
      </c>
      <c r="C284">
        <v>531150</v>
      </c>
      <c r="H284" t="s">
        <v>56</v>
      </c>
    </row>
    <row r="285" spans="1:8" x14ac:dyDescent="0.25">
      <c r="A285" t="s">
        <v>897</v>
      </c>
      <c r="B285" s="125">
        <v>45097</v>
      </c>
      <c r="D285">
        <v>125000</v>
      </c>
      <c r="H285" t="s">
        <v>654</v>
      </c>
    </row>
    <row r="286" spans="1:8" x14ac:dyDescent="0.25">
      <c r="A286" t="s">
        <v>898</v>
      </c>
      <c r="B286" s="125">
        <v>45097</v>
      </c>
      <c r="D286">
        <v>300000</v>
      </c>
      <c r="H286" t="s">
        <v>654</v>
      </c>
    </row>
    <row r="287" spans="1:8" x14ac:dyDescent="0.25">
      <c r="A287" t="s">
        <v>899</v>
      </c>
      <c r="B287" s="125">
        <v>45097</v>
      </c>
      <c r="D287">
        <v>52800</v>
      </c>
      <c r="H287" t="s">
        <v>675</v>
      </c>
    </row>
    <row r="288" spans="1:8" x14ac:dyDescent="0.25">
      <c r="A288" t="s">
        <v>1060</v>
      </c>
      <c r="B288" s="125">
        <v>45098</v>
      </c>
      <c r="D288">
        <v>150000</v>
      </c>
      <c r="H288" t="s">
        <v>675</v>
      </c>
    </row>
    <row r="289" spans="1:8" x14ac:dyDescent="0.25">
      <c r="A289" t="s">
        <v>780</v>
      </c>
      <c r="B289" s="125">
        <v>45098</v>
      </c>
      <c r="D289">
        <v>300000</v>
      </c>
      <c r="H289" t="s">
        <v>56</v>
      </c>
    </row>
    <row r="290" spans="1:8" x14ac:dyDescent="0.25">
      <c r="A290" t="s">
        <v>1061</v>
      </c>
      <c r="B290" s="125">
        <v>45098</v>
      </c>
      <c r="D290">
        <v>250000</v>
      </c>
      <c r="H290" t="s">
        <v>654</v>
      </c>
    </row>
    <row r="291" spans="1:8" x14ac:dyDescent="0.25">
      <c r="A291" t="s">
        <v>1059</v>
      </c>
      <c r="B291" s="125">
        <v>45098</v>
      </c>
      <c r="D291">
        <v>4320000</v>
      </c>
      <c r="H291" t="s">
        <v>714</v>
      </c>
    </row>
    <row r="292" spans="1:8" x14ac:dyDescent="0.25">
      <c r="A292" t="s">
        <v>1062</v>
      </c>
      <c r="B292" s="125">
        <v>45099</v>
      </c>
      <c r="D292">
        <v>16000</v>
      </c>
      <c r="H292" t="s">
        <v>677</v>
      </c>
    </row>
    <row r="293" spans="1:8" x14ac:dyDescent="0.25">
      <c r="A293" t="s">
        <v>900</v>
      </c>
      <c r="B293" s="125">
        <v>45099</v>
      </c>
      <c r="D293">
        <v>500000</v>
      </c>
      <c r="H293" t="s">
        <v>654</v>
      </c>
    </row>
    <row r="294" spans="1:8" x14ac:dyDescent="0.25">
      <c r="A294" t="s">
        <v>901</v>
      </c>
      <c r="B294" s="125">
        <v>45099</v>
      </c>
      <c r="D294">
        <v>8000</v>
      </c>
      <c r="H294" t="s">
        <v>902</v>
      </c>
    </row>
    <row r="295" spans="1:8" x14ac:dyDescent="0.25">
      <c r="A295" t="s">
        <v>903</v>
      </c>
      <c r="B295" s="125">
        <v>45100</v>
      </c>
      <c r="C295">
        <v>240500</v>
      </c>
      <c r="H295" t="s">
        <v>673</v>
      </c>
    </row>
    <row r="296" spans="1:8" x14ac:dyDescent="0.25">
      <c r="A296" t="s">
        <v>1063</v>
      </c>
      <c r="B296" s="125">
        <v>45104</v>
      </c>
      <c r="C296">
        <v>500000</v>
      </c>
      <c r="G296" t="s">
        <v>904</v>
      </c>
      <c r="H296" t="s">
        <v>56</v>
      </c>
    </row>
    <row r="297" spans="1:8" x14ac:dyDescent="0.25">
      <c r="A297" t="s">
        <v>1064</v>
      </c>
      <c r="B297" s="125">
        <v>45104</v>
      </c>
      <c r="D297">
        <v>89900</v>
      </c>
      <c r="H297" t="s">
        <v>654</v>
      </c>
    </row>
    <row r="298" spans="1:8" x14ac:dyDescent="0.25">
      <c r="A298" t="s">
        <v>1064</v>
      </c>
      <c r="B298" s="125">
        <v>45105</v>
      </c>
      <c r="D298">
        <v>89000</v>
      </c>
      <c r="H298" t="s">
        <v>654</v>
      </c>
    </row>
    <row r="299" spans="1:8" x14ac:dyDescent="0.25">
      <c r="A299" t="s">
        <v>1065</v>
      </c>
      <c r="B299" s="125">
        <v>45106</v>
      </c>
      <c r="D299">
        <v>350000</v>
      </c>
      <c r="H299" t="s">
        <v>1066</v>
      </c>
    </row>
    <row r="300" spans="1:8" x14ac:dyDescent="0.25">
      <c r="A300" t="s">
        <v>905</v>
      </c>
      <c r="B300" s="125">
        <v>45106</v>
      </c>
      <c r="C300">
        <v>1002000</v>
      </c>
      <c r="H300" t="s">
        <v>56</v>
      </c>
    </row>
    <row r="301" spans="1:8" x14ac:dyDescent="0.25">
      <c r="A301" t="s">
        <v>689</v>
      </c>
      <c r="B301" s="125">
        <v>45106</v>
      </c>
      <c r="C301">
        <v>92000</v>
      </c>
      <c r="E301">
        <v>100000</v>
      </c>
      <c r="H301" t="s">
        <v>56</v>
      </c>
    </row>
    <row r="302" spans="1:8" x14ac:dyDescent="0.25">
      <c r="A302" t="s">
        <v>906</v>
      </c>
      <c r="B302" s="125">
        <v>45106</v>
      </c>
      <c r="D302">
        <v>32300</v>
      </c>
      <c r="H302" t="s">
        <v>56</v>
      </c>
    </row>
    <row r="303" spans="1:8" x14ac:dyDescent="0.25">
      <c r="A303" t="s">
        <v>766</v>
      </c>
      <c r="B303" s="125">
        <v>45107</v>
      </c>
      <c r="D303">
        <v>638000</v>
      </c>
      <c r="H303" t="s">
        <v>56</v>
      </c>
    </row>
    <row r="304" spans="1:8" x14ac:dyDescent="0.25">
      <c r="A304" t="s">
        <v>907</v>
      </c>
      <c r="B304" s="125">
        <v>45106</v>
      </c>
      <c r="D304">
        <v>500000</v>
      </c>
      <c r="H304" t="s">
        <v>654</v>
      </c>
    </row>
    <row r="305" spans="1:8" x14ac:dyDescent="0.25">
      <c r="A305" t="s">
        <v>908</v>
      </c>
      <c r="B305" s="125">
        <v>45107</v>
      </c>
      <c r="C305">
        <v>900000</v>
      </c>
      <c r="H305" t="s">
        <v>56</v>
      </c>
    </row>
    <row r="306" spans="1:8" x14ac:dyDescent="0.25">
      <c r="A306" t="s">
        <v>909</v>
      </c>
      <c r="B306" s="125">
        <v>45107</v>
      </c>
      <c r="C306">
        <v>1325000</v>
      </c>
      <c r="H306" t="s">
        <v>56</v>
      </c>
    </row>
    <row r="307" spans="1:8" x14ac:dyDescent="0.25">
      <c r="A307" t="s">
        <v>910</v>
      </c>
      <c r="B307" s="125">
        <v>45107</v>
      </c>
      <c r="C307">
        <v>956000</v>
      </c>
      <c r="H307" t="s">
        <v>56</v>
      </c>
    </row>
    <row r="308" spans="1:8" x14ac:dyDescent="0.25">
      <c r="A308" t="s">
        <v>911</v>
      </c>
      <c r="B308" s="125">
        <v>45111</v>
      </c>
      <c r="C308">
        <v>222500</v>
      </c>
      <c r="F308">
        <v>479</v>
      </c>
      <c r="H308" t="s">
        <v>56</v>
      </c>
    </row>
    <row r="309" spans="1:8" x14ac:dyDescent="0.25">
      <c r="A309" t="s">
        <v>885</v>
      </c>
      <c r="B309" s="125">
        <v>45111</v>
      </c>
      <c r="C309">
        <v>150000</v>
      </c>
      <c r="F309">
        <v>453</v>
      </c>
      <c r="H309" t="s">
        <v>56</v>
      </c>
    </row>
    <row r="310" spans="1:8" x14ac:dyDescent="0.25">
      <c r="A310" t="s">
        <v>912</v>
      </c>
      <c r="B310" s="125">
        <v>45112</v>
      </c>
      <c r="C310">
        <v>630000</v>
      </c>
      <c r="F310">
        <v>469</v>
      </c>
      <c r="H310" t="s">
        <v>56</v>
      </c>
    </row>
    <row r="311" spans="1:8" x14ac:dyDescent="0.25">
      <c r="A311" t="s">
        <v>1067</v>
      </c>
      <c r="B311" s="125">
        <v>45112</v>
      </c>
      <c r="D311">
        <v>550000</v>
      </c>
      <c r="F311">
        <v>1088028894</v>
      </c>
      <c r="H311" t="s">
        <v>714</v>
      </c>
    </row>
    <row r="312" spans="1:8" x14ac:dyDescent="0.25">
      <c r="A312" t="s">
        <v>693</v>
      </c>
      <c r="B312" s="125">
        <v>45112</v>
      </c>
      <c r="D312">
        <v>14500</v>
      </c>
      <c r="H312" t="s">
        <v>677</v>
      </c>
    </row>
    <row r="313" spans="1:8" x14ac:dyDescent="0.25">
      <c r="A313" t="s">
        <v>658</v>
      </c>
      <c r="B313" s="125">
        <v>45113</v>
      </c>
      <c r="D313">
        <v>60000</v>
      </c>
      <c r="F313">
        <v>9725810</v>
      </c>
      <c r="H313" t="s">
        <v>654</v>
      </c>
    </row>
    <row r="314" spans="1:8" x14ac:dyDescent="0.25">
      <c r="A314" t="s">
        <v>913</v>
      </c>
      <c r="B314" s="125">
        <v>45114</v>
      </c>
      <c r="C314">
        <v>791000</v>
      </c>
      <c r="H314" t="s">
        <v>56</v>
      </c>
    </row>
    <row r="315" spans="1:8" x14ac:dyDescent="0.25">
      <c r="A315" t="s">
        <v>663</v>
      </c>
      <c r="B315" s="125">
        <v>45115</v>
      </c>
      <c r="D315">
        <v>40000</v>
      </c>
      <c r="H315" t="s">
        <v>664</v>
      </c>
    </row>
    <row r="316" spans="1:8" x14ac:dyDescent="0.25">
      <c r="A316" t="s">
        <v>914</v>
      </c>
      <c r="B316" s="125">
        <v>45117</v>
      </c>
      <c r="D316">
        <v>135000</v>
      </c>
      <c r="F316">
        <v>10084648</v>
      </c>
      <c r="H316" t="s">
        <v>706</v>
      </c>
    </row>
    <row r="317" spans="1:8" x14ac:dyDescent="0.25">
      <c r="A317" t="s">
        <v>896</v>
      </c>
      <c r="B317" s="125">
        <v>45117</v>
      </c>
      <c r="C317">
        <v>400000</v>
      </c>
      <c r="H317" t="s">
        <v>56</v>
      </c>
    </row>
    <row r="318" spans="1:8" x14ac:dyDescent="0.25">
      <c r="A318" t="s">
        <v>966</v>
      </c>
      <c r="B318" s="125">
        <v>45117</v>
      </c>
      <c r="D318">
        <v>1000000</v>
      </c>
      <c r="F318">
        <v>10059203</v>
      </c>
      <c r="H318" t="s">
        <v>714</v>
      </c>
    </row>
    <row r="319" spans="1:8" x14ac:dyDescent="0.25">
      <c r="A319" t="s">
        <v>967</v>
      </c>
      <c r="B319" s="125">
        <v>45118</v>
      </c>
      <c r="D319">
        <v>50000</v>
      </c>
      <c r="H319" t="s">
        <v>677</v>
      </c>
    </row>
    <row r="320" spans="1:8" x14ac:dyDescent="0.25">
      <c r="A320" t="s">
        <v>968</v>
      </c>
      <c r="B320" s="125">
        <v>45122</v>
      </c>
      <c r="D320">
        <v>638000</v>
      </c>
      <c r="F320">
        <v>900776091</v>
      </c>
      <c r="H320" t="s">
        <v>684</v>
      </c>
    </row>
    <row r="321" spans="1:8" x14ac:dyDescent="0.25">
      <c r="A321" t="s">
        <v>689</v>
      </c>
      <c r="B321" s="125">
        <v>45124</v>
      </c>
      <c r="C321">
        <v>50000</v>
      </c>
      <c r="G321" t="s">
        <v>915</v>
      </c>
      <c r="H321" t="s">
        <v>56</v>
      </c>
    </row>
    <row r="322" spans="1:8" x14ac:dyDescent="0.25">
      <c r="A322" t="s">
        <v>720</v>
      </c>
      <c r="B322" s="125">
        <v>45124</v>
      </c>
      <c r="C322">
        <v>33000</v>
      </c>
      <c r="H322" t="s">
        <v>56</v>
      </c>
    </row>
    <row r="323" spans="1:8" x14ac:dyDescent="0.25">
      <c r="A323" t="s">
        <v>969</v>
      </c>
      <c r="B323" s="125">
        <v>45124</v>
      </c>
      <c r="C323">
        <v>690000</v>
      </c>
      <c r="F323">
        <v>900871479</v>
      </c>
      <c r="H323" t="s">
        <v>673</v>
      </c>
    </row>
    <row r="324" spans="1:8" x14ac:dyDescent="0.25">
      <c r="A324" t="s">
        <v>1068</v>
      </c>
      <c r="B324" s="125">
        <v>45124</v>
      </c>
      <c r="C324">
        <v>205000</v>
      </c>
      <c r="F324">
        <v>860002964</v>
      </c>
      <c r="H324" t="s">
        <v>673</v>
      </c>
    </row>
    <row r="325" spans="1:8" x14ac:dyDescent="0.25">
      <c r="A325" t="s">
        <v>970</v>
      </c>
      <c r="B325" s="125">
        <v>45125</v>
      </c>
      <c r="D325">
        <v>125000</v>
      </c>
      <c r="F325">
        <v>9725810</v>
      </c>
      <c r="H325" t="s">
        <v>654</v>
      </c>
    </row>
    <row r="326" spans="1:8" x14ac:dyDescent="0.25">
      <c r="A326" t="s">
        <v>971</v>
      </c>
      <c r="B326" s="125">
        <v>45125</v>
      </c>
      <c r="D326">
        <v>161000</v>
      </c>
      <c r="H326" t="s">
        <v>675</v>
      </c>
    </row>
    <row r="327" spans="1:8" x14ac:dyDescent="0.25">
      <c r="A327" t="s">
        <v>1069</v>
      </c>
      <c r="B327" s="125">
        <v>45125</v>
      </c>
      <c r="D327">
        <v>60000</v>
      </c>
      <c r="H327" t="s">
        <v>1066</v>
      </c>
    </row>
    <row r="328" spans="1:8" x14ac:dyDescent="0.25">
      <c r="A328" t="s">
        <v>1070</v>
      </c>
      <c r="B328" s="125">
        <v>45125</v>
      </c>
      <c r="D328">
        <v>8000</v>
      </c>
      <c r="H328" t="s">
        <v>677</v>
      </c>
    </row>
    <row r="329" spans="1:8" x14ac:dyDescent="0.25">
      <c r="A329" t="s">
        <v>735</v>
      </c>
      <c r="B329" s="125">
        <v>45125</v>
      </c>
      <c r="D329">
        <v>299000</v>
      </c>
      <c r="F329">
        <v>9725810</v>
      </c>
      <c r="H329" t="s">
        <v>654</v>
      </c>
    </row>
    <row r="330" spans="1:8" x14ac:dyDescent="0.25">
      <c r="A330" t="s">
        <v>653</v>
      </c>
      <c r="B330" s="125">
        <v>45125</v>
      </c>
      <c r="D330">
        <v>200000</v>
      </c>
      <c r="H330" t="s">
        <v>654</v>
      </c>
    </row>
    <row r="331" spans="1:8" x14ac:dyDescent="0.25">
      <c r="A331" t="s">
        <v>916</v>
      </c>
      <c r="B331" s="125">
        <v>45126</v>
      </c>
      <c r="C331">
        <v>532000</v>
      </c>
      <c r="F331">
        <v>860050750</v>
      </c>
      <c r="H331" t="s">
        <v>673</v>
      </c>
    </row>
    <row r="332" spans="1:8" x14ac:dyDescent="0.25">
      <c r="A332" t="s">
        <v>972</v>
      </c>
      <c r="B332" s="125">
        <v>45126</v>
      </c>
      <c r="D332">
        <v>300000</v>
      </c>
      <c r="H332" t="s">
        <v>684</v>
      </c>
    </row>
    <row r="333" spans="1:8" x14ac:dyDescent="0.25">
      <c r="A333" t="s">
        <v>663</v>
      </c>
      <c r="B333" s="125">
        <v>45126</v>
      </c>
      <c r="D333">
        <v>50000</v>
      </c>
      <c r="H333" t="s">
        <v>664</v>
      </c>
    </row>
    <row r="334" spans="1:8" x14ac:dyDescent="0.25">
      <c r="A334" t="s">
        <v>973</v>
      </c>
      <c r="B334" s="125">
        <v>45128</v>
      </c>
      <c r="D334">
        <v>99000</v>
      </c>
      <c r="H334" t="s">
        <v>675</v>
      </c>
    </row>
    <row r="335" spans="1:8" x14ac:dyDescent="0.25">
      <c r="A335" t="s">
        <v>974</v>
      </c>
      <c r="B335" s="125">
        <v>45131</v>
      </c>
      <c r="C335">
        <v>2000000</v>
      </c>
      <c r="H335" t="s">
        <v>714</v>
      </c>
    </row>
    <row r="336" spans="1:8" x14ac:dyDescent="0.25">
      <c r="A336" t="s">
        <v>975</v>
      </c>
      <c r="B336" s="125">
        <v>45131</v>
      </c>
      <c r="C336">
        <v>2000000</v>
      </c>
      <c r="H336" t="s">
        <v>714</v>
      </c>
    </row>
    <row r="337" spans="1:8" x14ac:dyDescent="0.25">
      <c r="A337" t="s">
        <v>917</v>
      </c>
      <c r="B337" s="125">
        <v>45131</v>
      </c>
      <c r="D337">
        <v>5000000</v>
      </c>
      <c r="H337" t="s">
        <v>654</v>
      </c>
    </row>
    <row r="338" spans="1:8" x14ac:dyDescent="0.25">
      <c r="A338" t="s">
        <v>976</v>
      </c>
      <c r="B338" s="125">
        <v>45131</v>
      </c>
      <c r="D338">
        <v>650000</v>
      </c>
      <c r="H338" t="s">
        <v>675</v>
      </c>
    </row>
    <row r="339" spans="1:8" x14ac:dyDescent="0.25">
      <c r="A339" t="s">
        <v>679</v>
      </c>
      <c r="B339" s="125">
        <v>45131</v>
      </c>
      <c r="D339">
        <v>32300</v>
      </c>
      <c r="F339">
        <v>9725810</v>
      </c>
      <c r="H339" t="s">
        <v>654</v>
      </c>
    </row>
    <row r="340" spans="1:8" x14ac:dyDescent="0.25">
      <c r="A340" t="s">
        <v>740</v>
      </c>
      <c r="B340" s="125">
        <v>45131</v>
      </c>
      <c r="D340">
        <v>70000</v>
      </c>
      <c r="E340">
        <v>120000</v>
      </c>
      <c r="F340">
        <v>1088028894</v>
      </c>
      <c r="H340" t="s">
        <v>654</v>
      </c>
    </row>
    <row r="341" spans="1:8" x14ac:dyDescent="0.25">
      <c r="A341" t="s">
        <v>663</v>
      </c>
      <c r="B341" s="125">
        <v>45133</v>
      </c>
      <c r="D341">
        <v>40000</v>
      </c>
      <c r="H341" t="s">
        <v>664</v>
      </c>
    </row>
    <row r="342" spans="1:8" x14ac:dyDescent="0.25">
      <c r="A342" t="s">
        <v>977</v>
      </c>
      <c r="B342" s="125">
        <v>45133</v>
      </c>
      <c r="C342">
        <v>60000</v>
      </c>
      <c r="E342">
        <v>60000</v>
      </c>
      <c r="F342">
        <v>1088028894</v>
      </c>
      <c r="H342" t="s">
        <v>56</v>
      </c>
    </row>
    <row r="343" spans="1:8" x14ac:dyDescent="0.25">
      <c r="A343" t="s">
        <v>886</v>
      </c>
      <c r="B343" s="125">
        <v>45138</v>
      </c>
      <c r="D343">
        <v>200000</v>
      </c>
      <c r="F343">
        <v>9725810</v>
      </c>
      <c r="H343" t="s">
        <v>654</v>
      </c>
    </row>
    <row r="344" spans="1:8" x14ac:dyDescent="0.25">
      <c r="A344" t="s">
        <v>978</v>
      </c>
      <c r="B344" s="125">
        <v>45138</v>
      </c>
      <c r="C344">
        <v>200000</v>
      </c>
      <c r="H344" t="s">
        <v>673</v>
      </c>
    </row>
    <row r="345" spans="1:8" x14ac:dyDescent="0.25">
      <c r="A345" t="s">
        <v>979</v>
      </c>
      <c r="B345" s="125">
        <v>45138</v>
      </c>
      <c r="C345">
        <v>150000</v>
      </c>
      <c r="F345">
        <v>860002964</v>
      </c>
      <c r="H345" t="s">
        <v>673</v>
      </c>
    </row>
    <row r="346" spans="1:8" x14ac:dyDescent="0.25">
      <c r="A346" t="s">
        <v>687</v>
      </c>
      <c r="B346" s="125">
        <v>45138</v>
      </c>
      <c r="D346">
        <v>638000</v>
      </c>
      <c r="F346">
        <v>900776091</v>
      </c>
      <c r="H346" t="s">
        <v>684</v>
      </c>
    </row>
    <row r="347" spans="1:8" x14ac:dyDescent="0.25">
      <c r="A347" t="s">
        <v>918</v>
      </c>
      <c r="B347" s="125">
        <v>45139</v>
      </c>
      <c r="C347">
        <v>222500</v>
      </c>
      <c r="F347">
        <v>479</v>
      </c>
      <c r="H347" t="s">
        <v>56</v>
      </c>
    </row>
    <row r="348" spans="1:8" x14ac:dyDescent="0.25">
      <c r="A348" t="s">
        <v>896</v>
      </c>
      <c r="B348" s="125">
        <v>45139</v>
      </c>
      <c r="C348">
        <v>700000</v>
      </c>
      <c r="E348">
        <v>204000</v>
      </c>
      <c r="G348" t="s">
        <v>919</v>
      </c>
      <c r="H348" t="s">
        <v>56</v>
      </c>
    </row>
    <row r="349" spans="1:8" x14ac:dyDescent="0.25">
      <c r="A349" t="s">
        <v>980</v>
      </c>
      <c r="B349" s="125">
        <v>45142</v>
      </c>
      <c r="C349">
        <v>5000000</v>
      </c>
      <c r="H349" t="s">
        <v>714</v>
      </c>
    </row>
    <row r="350" spans="1:8" x14ac:dyDescent="0.25">
      <c r="A350" t="s">
        <v>920</v>
      </c>
      <c r="B350" s="125">
        <v>45142</v>
      </c>
      <c r="D350">
        <v>4000000</v>
      </c>
      <c r="F350">
        <v>499</v>
      </c>
      <c r="H350" t="s">
        <v>654</v>
      </c>
    </row>
    <row r="351" spans="1:8" x14ac:dyDescent="0.25">
      <c r="A351" t="s">
        <v>1071</v>
      </c>
      <c r="B351" s="125">
        <v>45142</v>
      </c>
      <c r="C351">
        <v>50000</v>
      </c>
      <c r="F351">
        <v>499</v>
      </c>
      <c r="H351" t="s">
        <v>56</v>
      </c>
    </row>
    <row r="352" spans="1:8" x14ac:dyDescent="0.25">
      <c r="A352" t="s">
        <v>921</v>
      </c>
      <c r="B352" s="125">
        <v>45142</v>
      </c>
      <c r="D352">
        <v>600000</v>
      </c>
      <c r="F352">
        <v>500</v>
      </c>
      <c r="H352" t="s">
        <v>654</v>
      </c>
    </row>
    <row r="353" spans="1:8" x14ac:dyDescent="0.25">
      <c r="A353" t="s">
        <v>1072</v>
      </c>
      <c r="B353" s="125">
        <v>45142</v>
      </c>
      <c r="C353">
        <v>50000</v>
      </c>
      <c r="F353">
        <v>500</v>
      </c>
      <c r="H353" t="s">
        <v>56</v>
      </c>
    </row>
    <row r="354" spans="1:8" x14ac:dyDescent="0.25">
      <c r="A354" t="s">
        <v>922</v>
      </c>
      <c r="B354" s="125">
        <v>45147</v>
      </c>
      <c r="C354">
        <v>60000</v>
      </c>
      <c r="F354">
        <v>10880288894</v>
      </c>
      <c r="H354" t="s">
        <v>56</v>
      </c>
    </row>
    <row r="355" spans="1:8" x14ac:dyDescent="0.25">
      <c r="A355" t="s">
        <v>914</v>
      </c>
      <c r="B355" s="125">
        <v>45148</v>
      </c>
      <c r="D355">
        <v>135000</v>
      </c>
      <c r="F355">
        <v>10084648</v>
      </c>
      <c r="H355" t="s">
        <v>706</v>
      </c>
    </row>
    <row r="356" spans="1:8" x14ac:dyDescent="0.25">
      <c r="A356" t="s">
        <v>1073</v>
      </c>
      <c r="B356" s="125">
        <v>45152</v>
      </c>
      <c r="D356">
        <v>350000</v>
      </c>
      <c r="F356">
        <v>503</v>
      </c>
      <c r="H356" t="s">
        <v>654</v>
      </c>
    </row>
    <row r="357" spans="1:8" x14ac:dyDescent="0.25">
      <c r="A357" t="s">
        <v>1074</v>
      </c>
      <c r="B357" s="125">
        <v>45152</v>
      </c>
      <c r="C357">
        <v>50000</v>
      </c>
      <c r="F357">
        <v>503</v>
      </c>
      <c r="H357" t="s">
        <v>56</v>
      </c>
    </row>
    <row r="358" spans="1:8" x14ac:dyDescent="0.25">
      <c r="A358" t="s">
        <v>981</v>
      </c>
      <c r="B358" s="125">
        <v>45152</v>
      </c>
      <c r="D358">
        <v>26000</v>
      </c>
      <c r="F358">
        <v>900476495</v>
      </c>
      <c r="H358" t="s">
        <v>656</v>
      </c>
    </row>
    <row r="359" spans="1:8" x14ac:dyDescent="0.25">
      <c r="A359" t="s">
        <v>982</v>
      </c>
      <c r="B359" s="125">
        <v>45152</v>
      </c>
      <c r="D359">
        <v>7700</v>
      </c>
      <c r="H359" t="s">
        <v>677</v>
      </c>
    </row>
    <row r="360" spans="1:8" x14ac:dyDescent="0.25">
      <c r="A360" t="s">
        <v>923</v>
      </c>
      <c r="B360" s="125">
        <v>45153</v>
      </c>
      <c r="C360">
        <v>350000</v>
      </c>
      <c r="F360">
        <v>510</v>
      </c>
      <c r="H360" t="s">
        <v>56</v>
      </c>
    </row>
    <row r="361" spans="1:8" x14ac:dyDescent="0.25">
      <c r="A361" t="s">
        <v>749</v>
      </c>
      <c r="B361" s="125">
        <v>45154</v>
      </c>
      <c r="D361">
        <v>5000</v>
      </c>
      <c r="H361" t="s">
        <v>677</v>
      </c>
    </row>
    <row r="362" spans="1:8" x14ac:dyDescent="0.25">
      <c r="A362" t="s">
        <v>687</v>
      </c>
      <c r="B362" s="125">
        <v>45154</v>
      </c>
      <c r="D362">
        <v>638000</v>
      </c>
      <c r="F362">
        <v>900776091</v>
      </c>
      <c r="H362" t="s">
        <v>684</v>
      </c>
    </row>
    <row r="363" spans="1:8" x14ac:dyDescent="0.25">
      <c r="A363" t="s">
        <v>720</v>
      </c>
      <c r="B363" s="125">
        <v>45154</v>
      </c>
      <c r="C363">
        <v>35000</v>
      </c>
      <c r="F363">
        <v>1088028894</v>
      </c>
      <c r="H363" t="s">
        <v>56</v>
      </c>
    </row>
    <row r="364" spans="1:8" x14ac:dyDescent="0.25">
      <c r="A364" t="s">
        <v>924</v>
      </c>
      <c r="B364" s="125">
        <v>45156</v>
      </c>
      <c r="C364">
        <v>2455100</v>
      </c>
      <c r="H364" t="s">
        <v>708</v>
      </c>
    </row>
    <row r="365" spans="1:8" x14ac:dyDescent="0.25">
      <c r="A365" t="s">
        <v>983</v>
      </c>
      <c r="B365" s="125">
        <v>45160</v>
      </c>
      <c r="C365">
        <v>52400</v>
      </c>
      <c r="F365">
        <v>860002964</v>
      </c>
      <c r="H365" t="s">
        <v>673</v>
      </c>
    </row>
    <row r="366" spans="1:8" x14ac:dyDescent="0.25">
      <c r="A366" t="s">
        <v>925</v>
      </c>
      <c r="B366" s="125">
        <v>45160</v>
      </c>
      <c r="C366">
        <v>527100</v>
      </c>
      <c r="F366">
        <v>860050750</v>
      </c>
      <c r="H366" t="s">
        <v>673</v>
      </c>
    </row>
    <row r="367" spans="1:8" x14ac:dyDescent="0.25">
      <c r="A367" t="s">
        <v>984</v>
      </c>
      <c r="B367" s="125">
        <v>45160</v>
      </c>
      <c r="D367">
        <v>20000</v>
      </c>
      <c r="H367" t="s">
        <v>677</v>
      </c>
    </row>
    <row r="368" spans="1:8" x14ac:dyDescent="0.25">
      <c r="A368" t="s">
        <v>985</v>
      </c>
      <c r="B368" s="125">
        <v>45160</v>
      </c>
      <c r="D368">
        <v>98200</v>
      </c>
      <c r="H368" t="s">
        <v>675</v>
      </c>
    </row>
    <row r="369" spans="1:8" x14ac:dyDescent="0.25">
      <c r="A369" t="s">
        <v>986</v>
      </c>
      <c r="B369" s="125">
        <v>45160</v>
      </c>
      <c r="D369">
        <v>206250</v>
      </c>
      <c r="H369" t="s">
        <v>675</v>
      </c>
    </row>
    <row r="370" spans="1:8" x14ac:dyDescent="0.25">
      <c r="A370" t="s">
        <v>679</v>
      </c>
      <c r="B370" s="125">
        <v>45161</v>
      </c>
      <c r="D370">
        <v>32300</v>
      </c>
      <c r="F370">
        <v>9725810</v>
      </c>
      <c r="H370" t="s">
        <v>654</v>
      </c>
    </row>
    <row r="371" spans="1:8" x14ac:dyDescent="0.25">
      <c r="A371" t="s">
        <v>926</v>
      </c>
      <c r="B371" s="125">
        <v>45162</v>
      </c>
      <c r="C371">
        <v>400000</v>
      </c>
      <c r="F371">
        <v>504</v>
      </c>
      <c r="H371" t="s">
        <v>56</v>
      </c>
    </row>
    <row r="372" spans="1:8" x14ac:dyDescent="0.25">
      <c r="A372" t="s">
        <v>724</v>
      </c>
      <c r="B372" s="125">
        <v>45162</v>
      </c>
      <c r="D372">
        <v>500000</v>
      </c>
      <c r="F372">
        <v>429</v>
      </c>
      <c r="H372" t="s">
        <v>654</v>
      </c>
    </row>
    <row r="373" spans="1:8" x14ac:dyDescent="0.25">
      <c r="A373" t="s">
        <v>927</v>
      </c>
      <c r="B373" s="125">
        <v>45162</v>
      </c>
      <c r="C373">
        <v>50000</v>
      </c>
      <c r="F373">
        <v>429</v>
      </c>
      <c r="H373" t="s">
        <v>56</v>
      </c>
    </row>
    <row r="374" spans="1:8" x14ac:dyDescent="0.25">
      <c r="A374" t="s">
        <v>928</v>
      </c>
      <c r="B374" s="125">
        <v>45163</v>
      </c>
      <c r="C374">
        <v>27000</v>
      </c>
      <c r="H374" t="s">
        <v>56</v>
      </c>
    </row>
    <row r="375" spans="1:8" x14ac:dyDescent="0.25">
      <c r="A375" t="s">
        <v>929</v>
      </c>
      <c r="B375" s="125">
        <v>45163</v>
      </c>
      <c r="D375">
        <v>1000000</v>
      </c>
      <c r="F375">
        <v>514</v>
      </c>
      <c r="H375" t="s">
        <v>654</v>
      </c>
    </row>
    <row r="376" spans="1:8" x14ac:dyDescent="0.25">
      <c r="A376" t="s">
        <v>930</v>
      </c>
      <c r="B376" s="125">
        <v>45163</v>
      </c>
      <c r="C376">
        <v>50000</v>
      </c>
      <c r="F376">
        <v>514</v>
      </c>
      <c r="H376" t="s">
        <v>56</v>
      </c>
    </row>
    <row r="377" spans="1:8" x14ac:dyDescent="0.25">
      <c r="A377" t="s">
        <v>987</v>
      </c>
      <c r="B377" s="125">
        <v>45166</v>
      </c>
      <c r="C377">
        <v>5560000</v>
      </c>
      <c r="F377">
        <v>484</v>
      </c>
      <c r="H377" t="s">
        <v>56</v>
      </c>
    </row>
    <row r="378" spans="1:8" x14ac:dyDescent="0.25">
      <c r="A378" t="s">
        <v>976</v>
      </c>
      <c r="B378" s="125">
        <v>45166</v>
      </c>
      <c r="D378">
        <v>650000</v>
      </c>
      <c r="F378">
        <v>900776091</v>
      </c>
      <c r="H378" t="s">
        <v>675</v>
      </c>
    </row>
    <row r="379" spans="1:8" x14ac:dyDescent="0.25">
      <c r="A379" t="s">
        <v>1075</v>
      </c>
      <c r="B379" s="125">
        <v>45167</v>
      </c>
      <c r="D379">
        <v>35000</v>
      </c>
      <c r="F379">
        <v>514</v>
      </c>
      <c r="H379" t="s">
        <v>654</v>
      </c>
    </row>
    <row r="380" spans="1:8" x14ac:dyDescent="0.25">
      <c r="A380" t="s">
        <v>1076</v>
      </c>
      <c r="B380" s="125">
        <v>45167</v>
      </c>
      <c r="D380">
        <v>900000</v>
      </c>
      <c r="F380">
        <v>9725810</v>
      </c>
      <c r="H380" t="s">
        <v>654</v>
      </c>
    </row>
    <row r="381" spans="1:8" x14ac:dyDescent="0.25">
      <c r="A381" t="s">
        <v>1077</v>
      </c>
      <c r="B381" s="125">
        <v>45169</v>
      </c>
      <c r="D381">
        <v>130000</v>
      </c>
      <c r="H381" t="s">
        <v>675</v>
      </c>
    </row>
    <row r="382" spans="1:8" x14ac:dyDescent="0.25">
      <c r="A382" t="s">
        <v>918</v>
      </c>
      <c r="B382" s="125">
        <v>45169</v>
      </c>
      <c r="C382">
        <v>222500</v>
      </c>
      <c r="F382">
        <v>479</v>
      </c>
      <c r="H382" t="s">
        <v>56</v>
      </c>
    </row>
    <row r="383" spans="1:8" x14ac:dyDescent="0.25">
      <c r="A383" t="s">
        <v>1078</v>
      </c>
      <c r="B383" s="125">
        <v>45169</v>
      </c>
      <c r="D383">
        <v>800000</v>
      </c>
      <c r="F383">
        <v>10059203</v>
      </c>
      <c r="H383" t="s">
        <v>714</v>
      </c>
    </row>
    <row r="384" spans="1:8" x14ac:dyDescent="0.25">
      <c r="A384" t="s">
        <v>1079</v>
      </c>
      <c r="B384" s="125">
        <v>45169</v>
      </c>
      <c r="D384">
        <v>360000</v>
      </c>
      <c r="H384" t="s">
        <v>654</v>
      </c>
    </row>
    <row r="385" spans="1:8" x14ac:dyDescent="0.25">
      <c r="A385" t="s">
        <v>687</v>
      </c>
      <c r="B385" s="125">
        <v>45169</v>
      </c>
      <c r="D385">
        <v>638000</v>
      </c>
      <c r="H385" t="s">
        <v>684</v>
      </c>
    </row>
    <row r="386" spans="1:8" x14ac:dyDescent="0.25">
      <c r="A386" t="s">
        <v>1080</v>
      </c>
      <c r="B386" s="125">
        <v>45169</v>
      </c>
      <c r="C386">
        <v>248850</v>
      </c>
      <c r="H386" t="s">
        <v>673</v>
      </c>
    </row>
    <row r="387" spans="1:8" x14ac:dyDescent="0.25">
      <c r="A387" t="s">
        <v>653</v>
      </c>
      <c r="B387" s="125">
        <v>45170</v>
      </c>
      <c r="D387">
        <v>100000</v>
      </c>
      <c r="H387" t="s">
        <v>654</v>
      </c>
    </row>
    <row r="388" spans="1:8" x14ac:dyDescent="0.25">
      <c r="A388" t="s">
        <v>1081</v>
      </c>
      <c r="B388" s="125">
        <v>45170</v>
      </c>
      <c r="C388">
        <v>10000</v>
      </c>
      <c r="H388" t="s">
        <v>56</v>
      </c>
    </row>
    <row r="389" spans="1:8" x14ac:dyDescent="0.25">
      <c r="A389" t="s">
        <v>1082</v>
      </c>
      <c r="B389" s="125">
        <v>45173</v>
      </c>
      <c r="C389">
        <v>1320000</v>
      </c>
      <c r="F389">
        <v>499</v>
      </c>
      <c r="H389" t="s">
        <v>56</v>
      </c>
    </row>
    <row r="390" spans="1:8" x14ac:dyDescent="0.25">
      <c r="A390" t="s">
        <v>1083</v>
      </c>
      <c r="B390" s="125">
        <v>45173</v>
      </c>
      <c r="D390">
        <v>500000</v>
      </c>
      <c r="F390">
        <v>517</v>
      </c>
      <c r="H390" t="s">
        <v>654</v>
      </c>
    </row>
    <row r="391" spans="1:8" x14ac:dyDescent="0.25">
      <c r="A391" t="s">
        <v>1084</v>
      </c>
      <c r="B391" s="125">
        <v>45173</v>
      </c>
      <c r="C391">
        <v>50000</v>
      </c>
      <c r="F391">
        <v>517</v>
      </c>
      <c r="H391" t="s">
        <v>56</v>
      </c>
    </row>
    <row r="392" spans="1:8" x14ac:dyDescent="0.25">
      <c r="A392" t="s">
        <v>1073</v>
      </c>
      <c r="B392" s="125">
        <v>45173</v>
      </c>
      <c r="D392">
        <v>1000000</v>
      </c>
      <c r="F392">
        <v>516</v>
      </c>
      <c r="H392" t="s">
        <v>654</v>
      </c>
    </row>
    <row r="393" spans="1:8" x14ac:dyDescent="0.25">
      <c r="A393" t="s">
        <v>1085</v>
      </c>
      <c r="B393" s="125">
        <v>45173</v>
      </c>
      <c r="C393">
        <v>50000</v>
      </c>
      <c r="F393">
        <v>516</v>
      </c>
      <c r="H393" t="s">
        <v>56</v>
      </c>
    </row>
    <row r="394" spans="1:8" x14ac:dyDescent="0.25">
      <c r="A394" t="s">
        <v>1086</v>
      </c>
      <c r="B394" s="125">
        <v>45174</v>
      </c>
      <c r="D394">
        <v>550000</v>
      </c>
      <c r="F394">
        <v>521</v>
      </c>
      <c r="H394" t="s">
        <v>654</v>
      </c>
    </row>
    <row r="395" spans="1:8" x14ac:dyDescent="0.25">
      <c r="A395" t="s">
        <v>1087</v>
      </c>
      <c r="B395" s="125">
        <v>45174</v>
      </c>
      <c r="C395">
        <v>50000</v>
      </c>
      <c r="F395">
        <v>521</v>
      </c>
      <c r="H395" t="s">
        <v>56</v>
      </c>
    </row>
    <row r="396" spans="1:8" x14ac:dyDescent="0.25">
      <c r="A396" t="s">
        <v>799</v>
      </c>
      <c r="B396" s="125">
        <v>45175</v>
      </c>
      <c r="D396">
        <v>300000</v>
      </c>
      <c r="F396">
        <v>1088028894</v>
      </c>
      <c r="H396" t="s">
        <v>654</v>
      </c>
    </row>
    <row r="397" spans="1:8" x14ac:dyDescent="0.25">
      <c r="A397" t="s">
        <v>1113</v>
      </c>
      <c r="B397" s="125">
        <v>45177</v>
      </c>
      <c r="D397">
        <v>80000</v>
      </c>
      <c r="F397">
        <v>66678092</v>
      </c>
      <c r="H397" t="s">
        <v>1114</v>
      </c>
    </row>
    <row r="398" spans="1:8" x14ac:dyDescent="0.25">
      <c r="A398" t="s">
        <v>825</v>
      </c>
      <c r="B398" s="125">
        <v>45177</v>
      </c>
      <c r="D398">
        <v>1250000</v>
      </c>
      <c r="H398" t="s">
        <v>654</v>
      </c>
    </row>
    <row r="399" spans="1:8" x14ac:dyDescent="0.25">
      <c r="A399" t="s">
        <v>1117</v>
      </c>
      <c r="B399" s="125">
        <v>45177</v>
      </c>
      <c r="C399">
        <v>50000</v>
      </c>
      <c r="H399" t="s">
        <v>56</v>
      </c>
    </row>
    <row r="400" spans="1:8" x14ac:dyDescent="0.25">
      <c r="A400" t="s">
        <v>914</v>
      </c>
      <c r="B400" s="125">
        <v>45180</v>
      </c>
      <c r="D400">
        <v>135000</v>
      </c>
      <c r="H400" t="s">
        <v>706</v>
      </c>
    </row>
    <row r="401" spans="1:8" x14ac:dyDescent="0.25">
      <c r="A401" t="s">
        <v>1118</v>
      </c>
      <c r="B401" s="125">
        <v>45180</v>
      </c>
      <c r="C401">
        <v>5000000</v>
      </c>
      <c r="H401" t="s">
        <v>56</v>
      </c>
    </row>
    <row r="402" spans="1:8" x14ac:dyDescent="0.25">
      <c r="A402" t="s">
        <v>1119</v>
      </c>
      <c r="B402" s="125">
        <v>45181</v>
      </c>
      <c r="D402">
        <v>900000</v>
      </c>
      <c r="F402">
        <v>524</v>
      </c>
      <c r="H402" t="s">
        <v>654</v>
      </c>
    </row>
    <row r="403" spans="1:8" x14ac:dyDescent="0.25">
      <c r="A403" t="s">
        <v>1120</v>
      </c>
      <c r="B403" s="125">
        <v>45181</v>
      </c>
      <c r="C403">
        <v>50000</v>
      </c>
      <c r="F403">
        <v>524</v>
      </c>
      <c r="H403" t="s">
        <v>56</v>
      </c>
    </row>
    <row r="404" spans="1:8" x14ac:dyDescent="0.25">
      <c r="A404" t="s">
        <v>1121</v>
      </c>
      <c r="B404" s="125">
        <v>45181</v>
      </c>
      <c r="D404">
        <v>26000</v>
      </c>
      <c r="H404" t="s">
        <v>1122</v>
      </c>
    </row>
    <row r="405" spans="1:8" x14ac:dyDescent="0.25">
      <c r="A405" t="s">
        <v>1123</v>
      </c>
      <c r="B405" s="125">
        <v>45181</v>
      </c>
      <c r="C405">
        <v>565000</v>
      </c>
      <c r="F405">
        <v>517</v>
      </c>
      <c r="H405" t="s">
        <v>56</v>
      </c>
    </row>
    <row r="406" spans="1:8" x14ac:dyDescent="0.25">
      <c r="A406" t="s">
        <v>1126</v>
      </c>
      <c r="B406" s="125">
        <v>45182</v>
      </c>
      <c r="D406">
        <v>100000</v>
      </c>
      <c r="F406">
        <v>24954088</v>
      </c>
      <c r="H406" t="s">
        <v>654</v>
      </c>
    </row>
    <row r="407" spans="1:8" x14ac:dyDescent="0.25">
      <c r="B407" s="125"/>
      <c r="H407">
        <v>0</v>
      </c>
    </row>
    <row r="408" spans="1:8" x14ac:dyDescent="0.25">
      <c r="B408" s="125"/>
      <c r="H408">
        <v>0</v>
      </c>
    </row>
    <row r="409" spans="1:8" x14ac:dyDescent="0.25">
      <c r="B409" s="125"/>
      <c r="H409">
        <v>0</v>
      </c>
    </row>
    <row r="410" spans="1:8" x14ac:dyDescent="0.25">
      <c r="B410" s="125"/>
      <c r="H410">
        <v>0</v>
      </c>
    </row>
    <row r="411" spans="1:8" x14ac:dyDescent="0.25">
      <c r="B411" s="125"/>
      <c r="H411">
        <v>0</v>
      </c>
    </row>
    <row r="412" spans="1:8" x14ac:dyDescent="0.25">
      <c r="B412" s="125"/>
      <c r="C412">
        <v>23255450</v>
      </c>
      <c r="D412">
        <v>16072450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V19"/>
  <sheetViews>
    <sheetView workbookViewId="0">
      <selection activeCell="C17" sqref="C17"/>
    </sheetView>
  </sheetViews>
  <sheetFormatPr baseColWidth="10" defaultRowHeight="15" x14ac:dyDescent="0.25"/>
  <cols>
    <col min="1" max="1" width="26.28515625" customWidth="1"/>
    <col min="2" max="2" width="13.5703125" customWidth="1"/>
    <col min="3" max="3" width="14" customWidth="1"/>
    <col min="4" max="4" width="22.42578125" customWidth="1"/>
    <col min="6" max="6" width="15.7109375" customWidth="1"/>
    <col min="7" max="7" width="22.28515625" customWidth="1"/>
    <col min="9" max="9" width="14.5703125" customWidth="1"/>
    <col min="10" max="10" width="22.85546875" customWidth="1"/>
    <col min="12" max="12" width="13.42578125" customWidth="1"/>
    <col min="13" max="13" width="22.5703125" customWidth="1"/>
    <col min="15" max="15" width="14.85546875" customWidth="1"/>
    <col min="16" max="16" width="22.5703125" customWidth="1"/>
    <col min="18" max="18" width="13.85546875" customWidth="1"/>
    <col min="19" max="19" width="22.42578125" customWidth="1"/>
    <col min="21" max="21" width="15.28515625" customWidth="1"/>
  </cols>
  <sheetData>
    <row r="1" spans="1:22" ht="27" thickBot="1" x14ac:dyDescent="0.3">
      <c r="A1" s="47" t="s">
        <v>232</v>
      </c>
      <c r="B1" s="48" t="s">
        <v>52</v>
      </c>
      <c r="C1" s="48" t="s">
        <v>233</v>
      </c>
      <c r="D1" s="48" t="s">
        <v>234</v>
      </c>
      <c r="E1" s="48" t="s">
        <v>52</v>
      </c>
      <c r="F1" s="48" t="s">
        <v>233</v>
      </c>
      <c r="G1" s="48" t="s">
        <v>235</v>
      </c>
      <c r="H1" s="48" t="s">
        <v>52</v>
      </c>
      <c r="I1" s="48" t="s">
        <v>233</v>
      </c>
      <c r="J1" s="49" t="s">
        <v>236</v>
      </c>
      <c r="K1" s="49" t="s">
        <v>52</v>
      </c>
      <c r="L1" s="49" t="s">
        <v>233</v>
      </c>
      <c r="M1" s="49" t="s">
        <v>237</v>
      </c>
      <c r="N1" s="49" t="s">
        <v>52</v>
      </c>
      <c r="O1" s="49" t="s">
        <v>233</v>
      </c>
      <c r="P1" s="49" t="s">
        <v>238</v>
      </c>
      <c r="Q1" s="49" t="s">
        <v>52</v>
      </c>
      <c r="R1" s="49" t="s">
        <v>233</v>
      </c>
      <c r="S1" s="49" t="s">
        <v>239</v>
      </c>
      <c r="T1" s="49" t="s">
        <v>52</v>
      </c>
      <c r="U1" s="49" t="s">
        <v>233</v>
      </c>
      <c r="V1" s="50"/>
    </row>
    <row r="2" spans="1:22" ht="27" thickBot="1" x14ac:dyDescent="0.3">
      <c r="A2" s="51" t="s">
        <v>203</v>
      </c>
      <c r="B2" s="62">
        <v>6145000</v>
      </c>
      <c r="C2" s="52" t="s">
        <v>240</v>
      </c>
      <c r="D2" s="53" t="s">
        <v>241</v>
      </c>
      <c r="E2" s="62">
        <v>2509751</v>
      </c>
      <c r="F2" s="52" t="s">
        <v>240</v>
      </c>
      <c r="G2" s="54" t="s">
        <v>242</v>
      </c>
      <c r="H2" s="69">
        <v>12000000</v>
      </c>
      <c r="I2" s="54" t="s">
        <v>243</v>
      </c>
      <c r="J2" s="55" t="s">
        <v>244</v>
      </c>
      <c r="K2" s="64">
        <v>10000000</v>
      </c>
      <c r="L2" s="55" t="s">
        <v>240</v>
      </c>
      <c r="M2" s="53" t="s">
        <v>245</v>
      </c>
      <c r="N2" s="62">
        <v>15000000</v>
      </c>
      <c r="O2" s="53" t="s">
        <v>246</v>
      </c>
      <c r="P2" s="53" t="s">
        <v>247</v>
      </c>
      <c r="Q2" s="62">
        <v>57000000</v>
      </c>
      <c r="R2" s="53" t="s">
        <v>246</v>
      </c>
      <c r="S2" s="54" t="s">
        <v>248</v>
      </c>
      <c r="T2" s="69">
        <v>9570000</v>
      </c>
      <c r="U2" s="54" t="s">
        <v>240</v>
      </c>
      <c r="V2" s="50"/>
    </row>
    <row r="3" spans="1:22" ht="27" thickBot="1" x14ac:dyDescent="0.3">
      <c r="A3" s="51" t="s">
        <v>249</v>
      </c>
      <c r="B3" s="62">
        <v>19990000</v>
      </c>
      <c r="C3" s="52" t="s">
        <v>240</v>
      </c>
      <c r="D3" s="52" t="s">
        <v>250</v>
      </c>
      <c r="E3" s="68">
        <v>2685612</v>
      </c>
      <c r="F3" s="52" t="s">
        <v>240</v>
      </c>
      <c r="G3" s="54"/>
      <c r="H3" s="66"/>
      <c r="I3" s="54"/>
      <c r="J3" s="55" t="s">
        <v>251</v>
      </c>
      <c r="K3" s="64">
        <v>32720300</v>
      </c>
      <c r="L3" s="55" t="s">
        <v>240</v>
      </c>
      <c r="M3" s="55" t="s">
        <v>252</v>
      </c>
      <c r="N3" s="64">
        <v>6175634</v>
      </c>
      <c r="O3" s="55" t="s">
        <v>253</v>
      </c>
      <c r="P3" s="54" t="s">
        <v>254</v>
      </c>
      <c r="Q3" s="69">
        <v>1900000</v>
      </c>
      <c r="R3" s="54" t="s">
        <v>246</v>
      </c>
      <c r="S3" s="55"/>
      <c r="T3" s="65"/>
      <c r="U3" s="55"/>
      <c r="V3" s="50"/>
    </row>
    <row r="4" spans="1:22" ht="27" thickBot="1" x14ac:dyDescent="0.3">
      <c r="A4" s="51" t="s">
        <v>255</v>
      </c>
      <c r="B4" s="62">
        <v>6752000</v>
      </c>
      <c r="C4" s="52" t="s">
        <v>256</v>
      </c>
      <c r="D4" s="54" t="s">
        <v>257</v>
      </c>
      <c r="E4" s="69">
        <v>1599993</v>
      </c>
      <c r="F4" s="54" t="s">
        <v>240</v>
      </c>
      <c r="G4" s="55"/>
      <c r="H4" s="65"/>
      <c r="I4" s="55"/>
      <c r="J4" s="55"/>
      <c r="K4" s="65"/>
      <c r="L4" s="55"/>
      <c r="M4" s="55" t="s">
        <v>258</v>
      </c>
      <c r="N4" s="64">
        <v>10353416</v>
      </c>
      <c r="O4" s="55" t="s">
        <v>259</v>
      </c>
      <c r="P4" s="55"/>
      <c r="Q4" s="66"/>
      <c r="R4" s="55"/>
      <c r="S4" s="55"/>
      <c r="T4" s="65"/>
      <c r="U4" s="55"/>
      <c r="V4" s="50"/>
    </row>
    <row r="5" spans="1:22" ht="27" thickBot="1" x14ac:dyDescent="0.3">
      <c r="A5" s="51" t="s">
        <v>260</v>
      </c>
      <c r="B5" s="62">
        <v>7084000</v>
      </c>
      <c r="C5" s="52" t="s">
        <v>240</v>
      </c>
      <c r="D5" s="53" t="s">
        <v>261</v>
      </c>
      <c r="E5" s="62">
        <v>4500001</v>
      </c>
      <c r="F5" s="52" t="s">
        <v>240</v>
      </c>
      <c r="G5" s="55"/>
      <c r="H5" s="65"/>
      <c r="I5" s="55"/>
      <c r="J5" s="55"/>
      <c r="K5" s="65"/>
      <c r="L5" s="55"/>
      <c r="M5" s="55"/>
      <c r="N5" s="65"/>
      <c r="O5" s="55"/>
      <c r="P5" s="55"/>
      <c r="Q5" s="65"/>
      <c r="R5" s="55"/>
      <c r="S5" s="55"/>
      <c r="T5" s="65"/>
      <c r="U5" s="55"/>
      <c r="V5" s="50"/>
    </row>
    <row r="6" spans="1:22" ht="27" thickBot="1" x14ac:dyDescent="0.3">
      <c r="A6" s="51" t="s">
        <v>262</v>
      </c>
      <c r="B6" s="62">
        <v>6222000</v>
      </c>
      <c r="C6" s="53" t="s">
        <v>240</v>
      </c>
      <c r="D6" s="53" t="s">
        <v>263</v>
      </c>
      <c r="E6" s="62">
        <v>15646192</v>
      </c>
      <c r="F6" s="52" t="s">
        <v>256</v>
      </c>
      <c r="G6" s="55"/>
      <c r="H6" s="65"/>
      <c r="I6" s="55"/>
      <c r="J6" s="55"/>
      <c r="K6" s="65"/>
      <c r="L6" s="55"/>
      <c r="M6" s="55"/>
      <c r="N6" s="65"/>
      <c r="O6" s="55"/>
      <c r="P6" s="55"/>
      <c r="Q6" s="65"/>
      <c r="R6" s="55"/>
      <c r="S6" s="55"/>
      <c r="T6" s="65"/>
      <c r="U6" s="55"/>
      <c r="V6" s="50"/>
    </row>
    <row r="7" spans="1:22" ht="27" thickBot="1" x14ac:dyDescent="0.3">
      <c r="A7" s="56" t="s">
        <v>264</v>
      </c>
      <c r="B7" s="63"/>
      <c r="C7" s="57" t="s">
        <v>256</v>
      </c>
      <c r="D7" s="52" t="s">
        <v>265</v>
      </c>
      <c r="E7" s="68">
        <v>6494069</v>
      </c>
      <c r="F7" s="52" t="s">
        <v>240</v>
      </c>
      <c r="G7" s="55"/>
      <c r="H7" s="65"/>
      <c r="I7" s="55"/>
      <c r="J7" s="55"/>
      <c r="K7" s="65"/>
      <c r="L7" s="55"/>
      <c r="M7" s="55"/>
      <c r="N7" s="65"/>
      <c r="O7" s="55"/>
      <c r="P7" s="55"/>
      <c r="Q7" s="65"/>
      <c r="R7" s="55"/>
      <c r="S7" s="55"/>
      <c r="T7" s="65"/>
      <c r="U7" s="55"/>
      <c r="V7" s="50"/>
    </row>
    <row r="8" spans="1:22" ht="27" thickBot="1" x14ac:dyDescent="0.3">
      <c r="A8" s="58" t="s">
        <v>105</v>
      </c>
      <c r="B8" s="64">
        <v>3334000</v>
      </c>
      <c r="C8" s="55" t="s">
        <v>240</v>
      </c>
      <c r="D8" s="53" t="s">
        <v>266</v>
      </c>
      <c r="E8" s="62">
        <v>15544189</v>
      </c>
      <c r="F8" s="52" t="s">
        <v>240</v>
      </c>
      <c r="G8" s="55"/>
      <c r="H8" s="65"/>
      <c r="I8" s="55"/>
      <c r="J8" s="55"/>
      <c r="K8" s="65"/>
      <c r="L8" s="55"/>
      <c r="M8" s="55"/>
      <c r="N8" s="65"/>
      <c r="O8" s="55"/>
      <c r="P8" s="55"/>
      <c r="Q8" s="65"/>
      <c r="R8" s="55"/>
      <c r="S8" s="55"/>
      <c r="T8" s="65"/>
      <c r="U8" s="55"/>
      <c r="V8" s="50"/>
    </row>
    <row r="9" spans="1:22" ht="27" thickBot="1" x14ac:dyDescent="0.3">
      <c r="A9" s="51" t="s">
        <v>79</v>
      </c>
      <c r="B9" s="62">
        <v>7086051</v>
      </c>
      <c r="C9" s="53" t="s">
        <v>240</v>
      </c>
      <c r="D9" s="53" t="s">
        <v>267</v>
      </c>
      <c r="E9" s="62">
        <v>1100045</v>
      </c>
      <c r="F9" s="52" t="s">
        <v>240</v>
      </c>
      <c r="G9" s="55"/>
      <c r="H9" s="65"/>
      <c r="I9" s="55"/>
      <c r="J9" s="55"/>
      <c r="K9" s="65"/>
      <c r="L9" s="55"/>
      <c r="M9" s="55"/>
      <c r="N9" s="65"/>
      <c r="O9" s="55"/>
      <c r="P9" s="55"/>
      <c r="Q9" s="65"/>
      <c r="R9" s="55"/>
      <c r="S9" s="55"/>
      <c r="T9" s="65"/>
      <c r="U9" s="55"/>
      <c r="V9" s="50"/>
    </row>
    <row r="10" spans="1:22" ht="27" thickBot="1" x14ac:dyDescent="0.3">
      <c r="A10" s="58"/>
      <c r="B10" s="65"/>
      <c r="C10" s="55"/>
      <c r="D10" s="53" t="s">
        <v>268</v>
      </c>
      <c r="E10" s="62">
        <v>3195830</v>
      </c>
      <c r="F10" s="53" t="s">
        <v>240</v>
      </c>
      <c r="G10" s="55"/>
      <c r="H10" s="65"/>
      <c r="I10" s="55"/>
      <c r="J10" s="55"/>
      <c r="K10" s="65"/>
      <c r="L10" s="55"/>
      <c r="M10" s="55"/>
      <c r="N10" s="65"/>
      <c r="O10" s="55"/>
      <c r="P10" s="55"/>
      <c r="Q10" s="65"/>
      <c r="R10" s="55"/>
      <c r="S10" s="55"/>
      <c r="T10" s="65"/>
      <c r="U10" s="55"/>
      <c r="V10" s="50"/>
    </row>
    <row r="11" spans="1:22" ht="27" thickBot="1" x14ac:dyDescent="0.3">
      <c r="A11" s="58"/>
      <c r="B11" s="65"/>
      <c r="C11" s="55"/>
      <c r="D11" s="53" t="s">
        <v>269</v>
      </c>
      <c r="E11" s="62">
        <v>6282381</v>
      </c>
      <c r="F11" s="52" t="s">
        <v>240</v>
      </c>
      <c r="G11" s="55"/>
      <c r="H11" s="65"/>
      <c r="I11" s="55"/>
      <c r="J11" s="55"/>
      <c r="K11" s="65"/>
      <c r="L11" s="55"/>
      <c r="M11" s="55"/>
      <c r="N11" s="65"/>
      <c r="O11" s="55"/>
      <c r="P11" s="55"/>
      <c r="Q11" s="65"/>
      <c r="R11" s="55"/>
      <c r="S11" s="55"/>
      <c r="T11" s="65"/>
      <c r="U11" s="55"/>
      <c r="V11" s="50"/>
    </row>
    <row r="12" spans="1:22" ht="27" thickBot="1" x14ac:dyDescent="0.3">
      <c r="A12" s="58"/>
      <c r="B12" s="65"/>
      <c r="C12" s="55"/>
      <c r="D12" s="54" t="s">
        <v>270</v>
      </c>
      <c r="E12" s="69">
        <v>2392022</v>
      </c>
      <c r="F12" s="54" t="s">
        <v>246</v>
      </c>
      <c r="G12" s="55"/>
      <c r="H12" s="65"/>
      <c r="I12" s="55"/>
      <c r="J12" s="55"/>
      <c r="K12" s="65"/>
      <c r="L12" s="55"/>
      <c r="M12" s="55"/>
      <c r="N12" s="65"/>
      <c r="O12" s="55"/>
      <c r="P12" s="55"/>
      <c r="Q12" s="65"/>
      <c r="R12" s="55"/>
      <c r="S12" s="55"/>
      <c r="T12" s="65"/>
      <c r="U12" s="55"/>
      <c r="V12" s="50"/>
    </row>
    <row r="13" spans="1:22" ht="15.75" thickBot="1" x14ac:dyDescent="0.3">
      <c r="A13" s="58"/>
      <c r="B13" s="65"/>
      <c r="C13" s="55"/>
      <c r="D13" s="54" t="s">
        <v>271</v>
      </c>
      <c r="E13" s="69">
        <v>3557248</v>
      </c>
      <c r="F13" s="54" t="s">
        <v>246</v>
      </c>
      <c r="G13" s="55"/>
      <c r="H13" s="65"/>
      <c r="I13" s="55"/>
      <c r="J13" s="55"/>
      <c r="K13" s="65"/>
      <c r="L13" s="55"/>
      <c r="M13" s="55"/>
      <c r="N13" s="65"/>
      <c r="O13" s="55"/>
      <c r="P13" s="55"/>
      <c r="Q13" s="65"/>
      <c r="R13" s="55"/>
      <c r="S13" s="55"/>
      <c r="T13" s="65"/>
      <c r="U13" s="55"/>
      <c r="V13" s="50"/>
    </row>
    <row r="14" spans="1:22" ht="15.75" thickBot="1" x14ac:dyDescent="0.3">
      <c r="A14" s="58"/>
      <c r="B14" s="65"/>
      <c r="C14" s="55"/>
      <c r="D14" s="57" t="s">
        <v>272</v>
      </c>
      <c r="E14" s="63"/>
      <c r="F14" s="57" t="s">
        <v>273</v>
      </c>
      <c r="G14" s="55"/>
      <c r="H14" s="65"/>
      <c r="I14" s="55"/>
      <c r="J14" s="55"/>
      <c r="K14" s="65"/>
      <c r="L14" s="55"/>
      <c r="M14" s="55"/>
      <c r="N14" s="65"/>
      <c r="O14" s="55"/>
      <c r="P14" s="55"/>
      <c r="Q14" s="65"/>
      <c r="R14" s="55"/>
      <c r="S14" s="55"/>
      <c r="T14" s="65"/>
      <c r="U14" s="55"/>
      <c r="V14" s="59"/>
    </row>
    <row r="15" spans="1:22" ht="15.75" thickBot="1" x14ac:dyDescent="0.3">
      <c r="A15" s="60"/>
      <c r="B15" s="66"/>
      <c r="C15" s="54"/>
      <c r="D15" s="54" t="s">
        <v>241</v>
      </c>
      <c r="E15" s="69">
        <v>2950000</v>
      </c>
      <c r="F15" s="54" t="s">
        <v>240</v>
      </c>
      <c r="G15" s="54"/>
      <c r="H15" s="66"/>
      <c r="I15" s="54"/>
      <c r="J15" s="54"/>
      <c r="K15" s="66"/>
      <c r="L15" s="54"/>
      <c r="M15" s="54"/>
      <c r="N15" s="66"/>
      <c r="O15" s="54"/>
      <c r="P15" s="54"/>
      <c r="Q15" s="66"/>
      <c r="R15" s="54"/>
      <c r="S15" s="54"/>
      <c r="T15" s="66"/>
      <c r="U15" s="54"/>
      <c r="V15" s="54"/>
    </row>
    <row r="16" spans="1:22" ht="27" thickBot="1" x14ac:dyDescent="0.3">
      <c r="A16" s="60"/>
      <c r="B16" s="66"/>
      <c r="C16" s="54"/>
      <c r="D16" s="54" t="s">
        <v>274</v>
      </c>
      <c r="E16" s="69">
        <v>6000005</v>
      </c>
      <c r="F16" s="54" t="s">
        <v>240</v>
      </c>
      <c r="G16" s="54"/>
      <c r="H16" s="66"/>
      <c r="I16" s="54"/>
      <c r="J16" s="54"/>
      <c r="K16" s="66"/>
      <c r="L16" s="54"/>
      <c r="M16" s="54"/>
      <c r="N16" s="66"/>
      <c r="O16" s="54"/>
      <c r="P16" s="54"/>
      <c r="Q16" s="66"/>
      <c r="R16" s="54"/>
      <c r="S16" s="54"/>
      <c r="T16" s="66"/>
      <c r="U16" s="54"/>
      <c r="V16" s="54"/>
    </row>
    <row r="17" spans="1:22" ht="39.75" thickBot="1" x14ac:dyDescent="0.3">
      <c r="A17" s="51" t="s">
        <v>249</v>
      </c>
      <c r="B17" s="64">
        <v>14500000</v>
      </c>
      <c r="C17" s="55" t="s">
        <v>275</v>
      </c>
      <c r="D17" s="50"/>
      <c r="E17" s="70"/>
      <c r="F17" s="50"/>
      <c r="G17" s="50"/>
      <c r="H17" s="70"/>
      <c r="I17" s="50"/>
      <c r="J17" s="50"/>
      <c r="K17" s="70"/>
      <c r="L17" s="50"/>
      <c r="M17" s="50"/>
      <c r="N17" s="70"/>
      <c r="O17" s="50"/>
      <c r="P17" s="50"/>
      <c r="Q17" s="70"/>
      <c r="R17" s="50"/>
      <c r="S17" s="50"/>
      <c r="T17" s="70"/>
      <c r="U17" s="50"/>
      <c r="V17" s="50"/>
    </row>
    <row r="18" spans="1:22" ht="39.75" thickBot="1" x14ac:dyDescent="0.3">
      <c r="A18" s="51" t="s">
        <v>260</v>
      </c>
      <c r="B18" s="67">
        <v>3300000</v>
      </c>
      <c r="C18" s="55" t="s">
        <v>275</v>
      </c>
      <c r="D18" s="50"/>
      <c r="E18" s="70"/>
      <c r="F18" s="50"/>
      <c r="G18" s="50"/>
      <c r="H18" s="70"/>
      <c r="I18" s="50"/>
      <c r="J18" s="50"/>
      <c r="K18" s="70"/>
      <c r="L18" s="50"/>
      <c r="M18" s="50"/>
      <c r="N18" s="70"/>
      <c r="O18" s="50"/>
      <c r="P18" s="50"/>
      <c r="Q18" s="70"/>
      <c r="R18" s="50"/>
      <c r="S18" s="50"/>
      <c r="T18" s="70"/>
      <c r="U18" s="50"/>
      <c r="V18" s="50"/>
    </row>
    <row r="19" spans="1:22" x14ac:dyDescent="0.25">
      <c r="B19" s="61">
        <f>SUM(B2:B18)</f>
        <v>74413051</v>
      </c>
      <c r="C19" s="61">
        <f t="shared" ref="C19:U19" si="0">SUM(C2:C18)</f>
        <v>0</v>
      </c>
      <c r="D19" s="61">
        <f t="shared" si="0"/>
        <v>0</v>
      </c>
      <c r="E19" s="61">
        <f t="shared" si="0"/>
        <v>74457338</v>
      </c>
      <c r="F19" s="61">
        <f t="shared" si="0"/>
        <v>0</v>
      </c>
      <c r="G19" s="61">
        <f t="shared" si="0"/>
        <v>0</v>
      </c>
      <c r="H19" s="61">
        <f t="shared" si="0"/>
        <v>12000000</v>
      </c>
      <c r="I19" s="61">
        <f t="shared" si="0"/>
        <v>0</v>
      </c>
      <c r="J19" s="61">
        <f t="shared" si="0"/>
        <v>0</v>
      </c>
      <c r="K19" s="61">
        <f t="shared" si="0"/>
        <v>42720300</v>
      </c>
      <c r="L19" s="61">
        <f t="shared" si="0"/>
        <v>0</v>
      </c>
      <c r="M19" s="61">
        <f t="shared" si="0"/>
        <v>0</v>
      </c>
      <c r="N19" s="61">
        <f t="shared" si="0"/>
        <v>31529050</v>
      </c>
      <c r="O19" s="61">
        <f t="shared" si="0"/>
        <v>0</v>
      </c>
      <c r="P19" s="61">
        <f t="shared" si="0"/>
        <v>0</v>
      </c>
      <c r="Q19" s="61">
        <f t="shared" si="0"/>
        <v>58900000</v>
      </c>
      <c r="R19" s="61">
        <f t="shared" si="0"/>
        <v>0</v>
      </c>
      <c r="S19" s="61">
        <f t="shared" si="0"/>
        <v>0</v>
      </c>
      <c r="T19" s="61">
        <f t="shared" si="0"/>
        <v>9570000</v>
      </c>
      <c r="U19" s="61">
        <f t="shared" si="0"/>
        <v>0</v>
      </c>
      <c r="V19" s="61">
        <f>SUM(B19:T19)</f>
        <v>303589739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3F76CB-8D36-46C0-A146-EEA5261E9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PRÉSTAMOS</vt:lpstr>
      <vt:lpstr>CLIENTES</vt:lpstr>
      <vt:lpstr>CONTRATOS</vt:lpstr>
      <vt:lpstr>Visual para Combinacion</vt:lpstr>
      <vt:lpstr>CAJA</vt:lpstr>
      <vt:lpstr>PROCESOS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Daniel Andres Castaneda Rodriguez</cp:lastModifiedBy>
  <cp:lastPrinted>2023-05-03T15:15:41Z</cp:lastPrinted>
  <dcterms:created xsi:type="dcterms:W3CDTF">2023-02-20T14:44:34Z</dcterms:created>
  <dcterms:modified xsi:type="dcterms:W3CDTF">2023-09-19T04:22:07Z</dcterms:modified>
</cp:coreProperties>
</file>